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hidePivotFieldList="1"/>
  <mc:AlternateContent xmlns:mc="http://schemas.openxmlformats.org/markup-compatibility/2006">
    <mc:Choice Requires="x15">
      <x15ac:absPath xmlns:x15ac="http://schemas.microsoft.com/office/spreadsheetml/2010/11/ac" url="/Users/FatmiaAmnaEE/Desktop/"/>
    </mc:Choice>
  </mc:AlternateContent>
  <xr:revisionPtr revIDLastSave="0" documentId="8_{708B7D3A-C533-2B4B-AAC7-D0DC699B8E03}" xr6:coauthVersionLast="47" xr6:coauthVersionMax="47" xr10:uidLastSave="{00000000-0000-0000-0000-000000000000}"/>
  <bookViews>
    <workbookView xWindow="0" yWindow="760" windowWidth="34200" windowHeight="21380" activeTab="2" xr2:uid="{00000000-000D-0000-FFFF-FFFF00000000}"/>
  </bookViews>
  <sheets>
    <sheet name="Assessments" sheetId="1" r:id="rId1"/>
    <sheet name="bike_buyers" sheetId="2" r:id="rId2"/>
    <sheet name="Dashboard" sheetId="4" r:id="rId3"/>
    <sheet name="Sales Leads" sheetId="5" r:id="rId4"/>
  </sheets>
  <definedNames>
    <definedName name="_xlnm._FilterDatabase" localSheetId="1" hidden="1">bike_buyers!$A$1:$Q$200</definedName>
    <definedName name="_xlnm.Extract" localSheetId="3">'Sales Leads'!$A$1:$Q$1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fyYpjSWjNVYCkybaIC1NKjfQq2xuZE1QZ11Oa8VBuds="/>
    </ext>
  </extLst>
</workbook>
</file>

<file path=xl/calcChain.xml><?xml version="1.0" encoding="utf-8"?>
<calcChain xmlns="http://schemas.openxmlformats.org/spreadsheetml/2006/main">
  <c r="T7" i="2" l="1"/>
  <c r="T6" i="2"/>
  <c r="T5" i="2"/>
  <c r="T4" i="2"/>
  <c r="T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3" i="2"/>
  <c r="Q2" i="2"/>
  <c r="P2" i="2"/>
  <c r="Q196" i="2"/>
  <c r="Q194" i="2"/>
  <c r="Q189" i="2"/>
  <c r="Q186" i="2"/>
  <c r="Q180" i="2"/>
  <c r="Q179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" i="2"/>
</calcChain>
</file>

<file path=xl/sharedStrings.xml><?xml version="1.0" encoding="utf-8"?>
<sst xmlns="http://schemas.openxmlformats.org/spreadsheetml/2006/main" count="1704" uniqueCount="70">
  <si>
    <r>
      <rPr>
        <b/>
        <sz val="11"/>
        <color theme="1"/>
        <rFont val="Calibri"/>
        <family val="2"/>
      </rPr>
      <t xml:space="preserve">1. Create a new column called </t>
    </r>
    <r>
      <rPr>
        <b/>
        <sz val="10"/>
        <color theme="1"/>
        <rFont val="Arial Unicode MS"/>
        <family val="2"/>
      </rPr>
      <t>Monthly Income</t>
    </r>
    <r>
      <rPr>
        <b/>
        <sz val="11"/>
        <color theme="1"/>
        <rFont val="Calibri"/>
        <family val="2"/>
      </rPr>
      <t>.Use a formula to divide Income by 12.</t>
    </r>
  </si>
  <si>
    <r>
      <rPr>
        <b/>
        <sz val="11"/>
        <color theme="1"/>
        <rFont val="Calibri"/>
        <family val="2"/>
      </rPr>
      <t xml:space="preserve">2. Highlight rows where </t>
    </r>
    <r>
      <rPr>
        <b/>
        <sz val="10"/>
        <color theme="1"/>
        <rFont val="Arial Unicode MS"/>
        <family val="2"/>
      </rPr>
      <t>Income</t>
    </r>
    <r>
      <rPr>
        <b/>
        <sz val="11"/>
        <color theme="1"/>
        <rFont val="Calibri"/>
        <family val="2"/>
      </rPr>
      <t xml:space="preserve"> is greater than $80,000.Use a different color to highlight Age under 30 and Purchased Bike = No</t>
    </r>
  </si>
  <si>
    <r>
      <rPr>
        <b/>
        <sz val="11"/>
        <color theme="1"/>
        <rFont val="Calibri"/>
        <family val="2"/>
      </rPr>
      <t xml:space="preserve">3. Create a bar chart showing average </t>
    </r>
    <r>
      <rPr>
        <b/>
        <sz val="10"/>
        <color theme="1"/>
        <rFont val="Arial Unicode MS"/>
        <family val="2"/>
      </rPr>
      <t>Income</t>
    </r>
    <r>
      <rPr>
        <b/>
        <sz val="11"/>
        <color theme="1"/>
        <rFont val="Calibri"/>
        <family val="2"/>
      </rPr>
      <t xml:space="preserve"> by </t>
    </r>
    <r>
      <rPr>
        <b/>
        <sz val="10"/>
        <color theme="1"/>
        <rFont val="Arial Unicode MS"/>
        <family val="2"/>
      </rPr>
      <t>Education</t>
    </r>
    <r>
      <rPr>
        <b/>
        <sz val="11"/>
        <color theme="1"/>
        <rFont val="Calibri"/>
        <family val="2"/>
      </rPr>
      <t xml:space="preserve"> level.Add data labels and a title to your chart.</t>
    </r>
  </si>
  <si>
    <t>4. Add a column called High Income. If Income use function to determine the status  &gt;70000 put yes and no if less</t>
  </si>
  <si>
    <t>5. Add data validation on  the payment type and allow users to choose Debit or EFT</t>
  </si>
  <si>
    <r>
      <rPr>
        <b/>
        <sz val="11"/>
        <color theme="1"/>
        <rFont val="Calibri"/>
        <family val="2"/>
      </rPr>
      <t xml:space="preserve">7. Create a column called </t>
    </r>
    <r>
      <rPr>
        <b/>
        <sz val="10"/>
        <color theme="1"/>
        <rFont val="Arial Unicode MS"/>
        <family val="2"/>
      </rPr>
      <t>Target Customer:Mark “Yes” if Income &gt; 70,000 AND Age &lt; 40 AND Purchased Bike = No</t>
    </r>
  </si>
  <si>
    <t>8. Create a dashboard that includes:Total # of Bike Purchases ,Purchases by Region (Pie or Bar Chart), Avg. Income of buyers vs non-buyers</t>
  </si>
  <si>
    <t>9. Count how many males and females are on the table using the count function</t>
  </si>
  <si>
    <t>10. Using INDEX MATCH function find the income of the following ID 15214</t>
  </si>
  <si>
    <t>11. Advance Filter for people who: Are under 35,  Have Income &gt; 75,000 ,  Haven’t purchased a bike  , Export this list to a new sheet as a sales lead list.</t>
  </si>
  <si>
    <t>12. Count the total number of people who purchased a bike.</t>
  </si>
  <si>
    <t>13. Using VLOOKUP find the Age for ID 25598</t>
  </si>
  <si>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</si>
  <si>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</si>
  <si>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</si>
  <si>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</si>
  <si>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</si>
  <si>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</si>
  <si>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</si>
  <si>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</si>
  <si>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</si>
  <si>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</si>
  <si>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</si>
  <si>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</si>
  <si>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</si>
  <si>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Payment Type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</si>
  <si>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</si>
  <si>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</si>
  <si>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</si>
  <si>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</si>
  <si>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</si>
  <si>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</si>
  <si>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</si>
  <si>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</si>
  <si>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</si>
  <si>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</si>
  <si>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</si>
  <si>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</si>
  <si>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</si>
  <si>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</si>
  <si>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</si>
  <si>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</si>
  <si>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</si>
  <si>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</si>
  <si>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</si>
  <si>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</si>
  <si>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</si>
  <si>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</si>
  <si>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Monthly Income</t>
  </si>
  <si>
    <t>Average of Income</t>
  </si>
  <si>
    <t>Row Labels</t>
  </si>
  <si>
    <t>Grand Total</t>
  </si>
  <si>
    <t>High Income</t>
  </si>
  <si>
    <t xml:space="preserve">6. Count how many bike buyers are:From Europe AND have 2+ Cars </t>
  </si>
  <si>
    <t>Total Bike Purchases:</t>
  </si>
  <si>
    <t>Count of Purchased Bike</t>
  </si>
  <si>
    <t xml:space="preserve">  </t>
  </si>
  <si>
    <t>Target Customer</t>
  </si>
  <si>
    <t>6. Bike Buyers From Europe With 2+ Cars</t>
  </si>
  <si>
    <t>9. Count of Males</t>
  </si>
  <si>
    <t>9. Count of Females</t>
  </si>
  <si>
    <t>&lt;35</t>
  </si>
  <si>
    <t>&gt;75000</t>
  </si>
  <si>
    <t/>
  </si>
  <si>
    <t>10. Income for ID 15214</t>
  </si>
  <si>
    <t>12. Number of People Who Purchased A Bike</t>
  </si>
  <si>
    <t>13. Age For ID 25598</t>
  </si>
  <si>
    <t>Criteria: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</si>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</sst>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£&quot;#,##0.00"/>
    <numFmt numFmtId="166" formatCode="[$$-409]#,##0.00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sz val="11"/>
      <color theme="2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/>
    <xf numFmtId="164" fontId="3" fillId="0" borderId="0" xfId="0" applyNumberFormat="1" applyFont="1"/>
    <xf numFmtId="0" fontId="4" fillId="3" borderId="0" xfId="0" applyFont="1" applyFill="1"/>
    <xf numFmtId="164" fontId="3" fillId="3" borderId="0" xfId="0" applyNumberFormat="1" applyFont="1" applyFill="1"/>
    <xf numFmtId="0" fontId="0" fillId="3" borderId="0" xfId="0" applyFill="1"/>
    <xf numFmtId="0" fontId="4" fillId="4" borderId="0" xfId="0" applyFont="1" applyFill="1"/>
    <xf numFmtId="164" fontId="3" fillId="4" borderId="0" xfId="0" applyNumberFormat="1" applyFont="1" applyFill="1"/>
    <xf numFmtId="0" fontId="0" fillId="4" borderId="0" xfId="0" applyFill="1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0" fontId="7" fillId="2" borderId="1" xfId="0" applyFont="1" applyFill="1" applyBorder="1"/>
    <xf numFmtId="0" fontId="8" fillId="0" borderId="0" xfId="0" applyFont="1"/>
    <xf numFmtId="0" fontId="6" fillId="0" borderId="0" xfId="0" applyFont="1"/>
    <xf numFmtId="0" fontId="1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166" fontId="7" fillId="2" borderId="1" xfId="0" applyNumberFormat="1" applyFont="1" applyFill="1" applyBorder="1"/>
    <xf numFmtId="166" fontId="0" fillId="0" borderId="0" xfId="0" applyNumberFormat="1"/>
    <xf numFmtId="166" fontId="0" fillId="3" borderId="0" xfId="0" applyNumberFormat="1" applyFill="1"/>
    <xf numFmtId="166" fontId="0" fillId="4" borderId="0" xfId="0" applyNumberFormat="1" applyFill="1"/>
    <xf numFmtId="0" fontId="1" fillId="0" borderId="2" xfId="0" applyFont="1" applyBorder="1"/>
    <xf numFmtId="0" fontId="0" fillId="0" borderId="2" xfId="0" applyBorder="1"/>
    <xf numFmtId="166" fontId="0" fillId="0" borderId="2" xfId="0" applyNumberFormat="1" applyBorder="1"/>
    <xf numFmtId="0" fontId="7" fillId="2" borderId="2" xfId="0" applyFont="1" applyFill="1" applyBorder="1"/>
    <xf numFmtId="0" fontId="9" fillId="0" borderId="3" xfId="0" applyFont="1" applyBorder="1"/>
    <xf numFmtId="0" fontId="10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Purchases By</a:t>
            </a:r>
            <a:r>
              <a:rPr lang="en-US" b="1" baseline="0"/>
              <a:t> Region</a:t>
            </a:r>
            <a:endParaRPr lang="en-US" b="1"/>
          </a:p>
        </c:rich>
      </c:tx>
      <c:layout>
        <c:manualLayout>
          <c:xMode val="edge"/>
          <c:yMode val="edge"/>
          <c:x val="0.25138158934952409"/>
          <c:y val="4.40771349862258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33-AA4D-B2EE-0D14FA58DA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33-AA4D-B2EE-0D14FA58DA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Europe</c:v>
              </c:pt>
              <c:pt idx="1">
                <c:v>Pacific</c:v>
              </c:pt>
            </c:strLit>
          </c:cat>
          <c:val>
            <c:numLit>
              <c:formatCode>General</c:formatCode>
              <c:ptCount val="2"/>
              <c:pt idx="0">
                <c:v>123</c:v>
              </c:pt>
              <c:pt idx="1">
                <c:v>76</c:v>
              </c:pt>
            </c:numLit>
          </c:val>
          <c:extLst>
            <c:ext xmlns:c16="http://schemas.microsoft.com/office/drawing/2014/chart" uri="{C3380CC4-5D6E-409C-BE32-E72D297353CC}">
              <c16:uniqueId val="{00000000-7581-43F7-BBC8-241264B09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242854884103342"/>
          <c:y val="0.42724452831825777"/>
          <c:w val="0.14608580962555559"/>
          <c:h val="0.194094155952024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Project.xlsx]Dashboard!PivotTable4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rPr>
              <a:t>Avg. Income of Buyers vs Non-Buyers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Dashboard!$A$15:$A$17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Dashboard!$B$15:$B$17</c:f>
              <c:numCache>
                <c:formatCode>"$"#,##0.00</c:formatCode>
                <c:ptCount val="2"/>
                <c:pt idx="0">
                  <c:v>48285.714285714283</c:v>
                </c:pt>
                <c:pt idx="1">
                  <c:v>49042.553191489358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6-4D74-A16D-D428CB9F6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262495"/>
        <c:axId val="1414261535"/>
      </c:barChart>
      <c:catAx>
        <c:axId val="141426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261535"/>
        <c:crosses val="autoZero"/>
        <c:auto val="1"/>
        <c:lblAlgn val="ctr"/>
        <c:lblOffset val="100"/>
        <c:noMultiLvlLbl val="0"/>
      </c:catAx>
      <c:valAx>
        <c:axId val="1414261535"/>
        <c:scaling>
          <c:orientation val="minMax"/>
          <c:max val="50000"/>
          <c:min val="4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262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rPr>
              <a:t>Average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Bachelors</c:v>
              </c:pt>
              <c:pt idx="1">
                <c:v>High School</c:v>
              </c:pt>
              <c:pt idx="2">
                <c:v>Partial College</c:v>
              </c:pt>
              <c:pt idx="3">
                <c:v>Graduate Degree</c:v>
              </c:pt>
              <c:pt idx="4">
                <c:v>Partial High School</c:v>
              </c:pt>
            </c:strLit>
          </c:cat>
          <c:val>
            <c:numLit>
              <c:formatCode>General</c:formatCode>
              <c:ptCount val="5"/>
              <c:pt idx="0">
                <c:v>53492.063492063491</c:v>
              </c:pt>
              <c:pt idx="1">
                <c:v>50526.315789473687</c:v>
              </c:pt>
              <c:pt idx="2">
                <c:v>49558.823529411762</c:v>
              </c:pt>
              <c:pt idx="3">
                <c:v>46666.666666666664</c:v>
              </c:pt>
              <c:pt idx="4">
                <c:v>21333.333333333332</c:v>
              </c:pt>
            </c:numLit>
          </c:val>
          <c:extLst>
            <c:ext xmlns:c16="http://schemas.microsoft.com/office/drawing/2014/chart" uri="{C3380CC4-5D6E-409C-BE32-E72D297353CC}">
              <c16:uniqueId val="{00000000-7D17-41CE-BC38-00D76E1DA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364255"/>
        <c:axId val="1414354175"/>
      </c:barChart>
      <c:catAx>
        <c:axId val="141436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354175"/>
        <c:crosses val="autoZero"/>
        <c:auto val="1"/>
        <c:lblAlgn val="ctr"/>
        <c:lblOffset val="100"/>
        <c:noMultiLvlLbl val="0"/>
      </c:catAx>
      <c:valAx>
        <c:axId val="141435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36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4</xdr:row>
      <xdr:rowOff>0</xdr:rowOff>
    </xdr:from>
    <xdr:to>
      <xdr:col>8</xdr:col>
      <xdr:colOff>47625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3EA7DD-A18F-1BD8-96AE-BDC869B32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600074</xdr:colOff>
      <xdr:row>17</xdr:row>
      <xdr:rowOff>4761</xdr:rowOff>
    </xdr:from>
    <xdr:to>
      <xdr:col>12</xdr:col>
      <xdr:colOff>95250</xdr:colOff>
      <xdr:row>32</xdr:row>
      <xdr:rowOff>66674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7B5620-FB61-0937-5526-1A2295D0E5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600076</xdr:colOff>
      <xdr:row>2</xdr:row>
      <xdr:rowOff>0</xdr:rowOff>
    </xdr:from>
    <xdr:to>
      <xdr:col>16</xdr:col>
      <xdr:colOff>600075</xdr:colOff>
      <xdr:row>15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081FF2-AFE3-4D5D-AF57-F2BFA5432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na Riasat" refreshedDate="46036.768369560188" createdVersion="8" refreshedVersion="8" minRefreshableVersion="3" recordCount="199" xr:uid="{EC8FB2FD-4D41-4C1C-B93A-240E950E060F}">
  <cacheSource type="worksheet">
    <worksheetSource ref="A1:O200" sheet="bike_buyers"/>
  </cacheSource>
  <cacheFields count="15">
    <cacheField name="ID" numFmtId="0">
      <sharedItems containsSemiMixedTypes="0" containsString="0" containsNumber="1" containsInteger="1" minValue="11047" maxValue="29380"/>
    </cacheField>
    <cacheField name="Marital Status" numFmtId="0">
      <sharedItems/>
    </cacheField>
    <cacheField name="Gender" numFmtId="0">
      <sharedItems/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/>
    </cacheField>
    <cacheField name="Region" numFmtId="0">
      <sharedItems/>
    </cacheField>
    <cacheField name="Age" numFmtId="0">
      <sharedItems containsSemiMixedTypes="0" containsString="0" containsNumber="1" containsInteger="1" minValue="25" maxValue="68"/>
    </cacheField>
    <cacheField name="Purchased Bike" numFmtId="0">
      <sharedItems/>
    </cacheField>
    <cacheField name="Payment Type" numFmtId="0">
      <sharedItems containsNonDate="0" containsString="0" containsBlank="1"/>
    </cacheField>
    <cacheField name="Monthly Income" numFmtId="165">
      <sharedItems containsSemiMixedTypes="0" containsString="0" containsNumber="1" minValue="833.33333333333337" maxValue="14166.6666666666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na Riasat" refreshedDate="46036.827043287034" createdVersion="8" refreshedVersion="8" minRefreshableVersion="3" recordCount="199" xr:uid="{094BBEC8-FF4F-4829-961C-F1DA7C738283}">
  <cacheSource type="worksheet">
    <worksheetSource ref="A1:Q200" sheet="bike_buyers"/>
  </cacheSource>
  <cacheFields count="17">
    <cacheField name="ID" numFmtId="0">
      <sharedItems containsSemiMixedTypes="0" containsString="0" containsNumber="1" containsInteger="1" minValue="11047" maxValue="29380"/>
    </cacheField>
    <cacheField name="Marital Status" numFmtId="0">
      <sharedItems/>
    </cacheField>
    <cacheField name="Gender" numFmtId="0">
      <sharedItems/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/>
    </cacheField>
    <cacheField name="Region" numFmtId="0">
      <sharedItems count="2">
        <s v="Europe"/>
        <s v="Pacific"/>
      </sharedItems>
    </cacheField>
    <cacheField name="Age" numFmtId="0">
      <sharedItems containsSemiMixedTypes="0" containsString="0" containsNumber="1" containsInteger="1" minValue="25" maxValue="68"/>
    </cacheField>
    <cacheField name="Purchased Bike" numFmtId="0">
      <sharedItems count="2">
        <s v="No"/>
        <s v="Yes"/>
      </sharedItems>
    </cacheField>
    <cacheField name="Payment Type" numFmtId="0">
      <sharedItems containsNonDate="0" containsString="0" containsBlank="1"/>
    </cacheField>
    <cacheField name="Monthly Income" numFmtId="165">
      <sharedItems containsSemiMixedTypes="0" containsString="0" containsNumber="1" minValue="833.33333333333337" maxValue="14166.666666666666"/>
    </cacheField>
    <cacheField name="High Income" numFmtId="0">
      <sharedItems/>
    </cacheField>
    <cacheField name="Target Custo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12496"/>
    <s v="M"/>
    <s v="F"/>
    <n v="40000"/>
    <n v="1"/>
    <x v="0"/>
    <s v="Skilled Manual"/>
    <s v="Yes"/>
    <n v="0"/>
    <s v="0-1 Miles"/>
    <s v="Europe"/>
    <n v="42"/>
    <s v="No"/>
    <m/>
    <n v="3333.3333333333335"/>
  </r>
  <r>
    <n v="24107"/>
    <s v="M"/>
    <s v="M"/>
    <n v="30000"/>
    <n v="3"/>
    <x v="1"/>
    <s v="Clerical"/>
    <s v="Yes"/>
    <n v="1"/>
    <s v="0-1 Miles"/>
    <s v="Europe"/>
    <n v="43"/>
    <s v="No"/>
    <m/>
    <n v="2500"/>
  </r>
  <r>
    <n v="14177"/>
    <s v="M"/>
    <s v="M"/>
    <n v="80000"/>
    <n v="5"/>
    <x v="1"/>
    <s v="Professional"/>
    <s v="No"/>
    <n v="2"/>
    <s v="2-5 Miles"/>
    <s v="Europe"/>
    <n v="60"/>
    <s v="No"/>
    <m/>
    <n v="6666.666666666667"/>
  </r>
  <r>
    <n v="24381"/>
    <s v="S"/>
    <s v="M"/>
    <n v="70000"/>
    <n v="0"/>
    <x v="0"/>
    <s v="Professional"/>
    <s v="Yes"/>
    <n v="1"/>
    <s v="5-10 Miles"/>
    <s v="Pacific"/>
    <n v="41"/>
    <s v="Yes"/>
    <m/>
    <n v="5833.333333333333"/>
  </r>
  <r>
    <n v="25597"/>
    <s v="S"/>
    <s v="M"/>
    <n v="30000"/>
    <n v="0"/>
    <x v="0"/>
    <s v="Clerical"/>
    <s v="No"/>
    <n v="0"/>
    <s v="0-1 Miles"/>
    <s v="Europe"/>
    <n v="36"/>
    <s v="Yes"/>
    <m/>
    <n v="2500"/>
  </r>
  <r>
    <n v="13507"/>
    <s v="M"/>
    <s v="F"/>
    <n v="10000"/>
    <n v="2"/>
    <x v="1"/>
    <s v="Manual"/>
    <s v="Yes"/>
    <n v="0"/>
    <s v="1-2 Miles"/>
    <s v="Europe"/>
    <n v="50"/>
    <s v="No"/>
    <m/>
    <n v="833.33333333333337"/>
  </r>
  <r>
    <n v="27974"/>
    <s v="S"/>
    <s v="M"/>
    <n v="160000"/>
    <n v="2"/>
    <x v="2"/>
    <s v="Management"/>
    <s v="Yes"/>
    <n v="4"/>
    <s v="0-1 Miles"/>
    <s v="Pacific"/>
    <n v="33"/>
    <s v="Yes"/>
    <m/>
    <n v="13333.333333333334"/>
  </r>
  <r>
    <n v="19364"/>
    <s v="M"/>
    <s v="M"/>
    <n v="40000"/>
    <n v="1"/>
    <x v="0"/>
    <s v="Skilled Manual"/>
    <s v="Yes"/>
    <n v="0"/>
    <s v="0-1 Miles"/>
    <s v="Europe"/>
    <n v="43"/>
    <s v="Yes"/>
    <m/>
    <n v="3333.3333333333335"/>
  </r>
  <r>
    <n v="22155"/>
    <s v="M"/>
    <s v="M"/>
    <n v="20000"/>
    <n v="2"/>
    <x v="3"/>
    <s v="Clerical"/>
    <s v="Yes"/>
    <n v="2"/>
    <s v="5-10 Miles"/>
    <s v="Pacific"/>
    <n v="58"/>
    <s v="No"/>
    <m/>
    <n v="1666.6666666666667"/>
  </r>
  <r>
    <n v="19280"/>
    <s v="M"/>
    <s v="M"/>
    <n v="120000"/>
    <n v="2"/>
    <x v="1"/>
    <s v="Manual"/>
    <s v="Yes"/>
    <n v="1"/>
    <s v="0-1 Miles"/>
    <s v="Europe"/>
    <n v="40"/>
    <s v="Yes"/>
    <m/>
    <n v="10000"/>
  </r>
  <r>
    <n v="22173"/>
    <s v="M"/>
    <s v="F"/>
    <n v="30000"/>
    <n v="3"/>
    <x v="2"/>
    <s v="Skilled Manual"/>
    <s v="No"/>
    <n v="2"/>
    <s v="1-2 Miles"/>
    <s v="Pacific"/>
    <n v="54"/>
    <s v="Yes"/>
    <m/>
    <n v="2500"/>
  </r>
  <r>
    <n v="12697"/>
    <s v="S"/>
    <s v="F"/>
    <n v="90000"/>
    <n v="0"/>
    <x v="0"/>
    <s v="Professional"/>
    <s v="No"/>
    <n v="4"/>
    <s v="10+ Miles"/>
    <s v="Pacific"/>
    <n v="36"/>
    <s v="No"/>
    <m/>
    <n v="7500"/>
  </r>
  <r>
    <n v="11434"/>
    <s v="M"/>
    <s v="M"/>
    <n v="170000"/>
    <n v="5"/>
    <x v="1"/>
    <s v="Professional"/>
    <s v="Yes"/>
    <n v="0"/>
    <s v="0-1 Miles"/>
    <s v="Europe"/>
    <n v="55"/>
    <s v="No"/>
    <m/>
    <n v="14166.666666666666"/>
  </r>
  <r>
    <n v="25323"/>
    <s v="M"/>
    <s v="M"/>
    <n v="40000"/>
    <n v="2"/>
    <x v="1"/>
    <s v="Clerical"/>
    <s v="Yes"/>
    <n v="1"/>
    <s v="1-2 Miles"/>
    <s v="Europe"/>
    <n v="35"/>
    <s v="Yes"/>
    <m/>
    <n v="3333.3333333333335"/>
  </r>
  <r>
    <n v="23542"/>
    <s v="S"/>
    <s v="M"/>
    <n v="60000"/>
    <n v="1"/>
    <x v="1"/>
    <s v="Skilled Manual"/>
    <s v="No"/>
    <n v="1"/>
    <s v="0-1 Miles"/>
    <s v="Pacific"/>
    <n v="45"/>
    <s v="Yes"/>
    <m/>
    <n v="5000"/>
  </r>
  <r>
    <n v="20870"/>
    <s v="S"/>
    <s v="F"/>
    <n v="10000"/>
    <n v="2"/>
    <x v="2"/>
    <s v="Manual"/>
    <s v="Yes"/>
    <n v="1"/>
    <s v="0-1 Miles"/>
    <s v="Europe"/>
    <n v="38"/>
    <s v="Yes"/>
    <m/>
    <n v="833.33333333333337"/>
  </r>
  <r>
    <n v="23316"/>
    <s v="S"/>
    <s v="M"/>
    <n v="30000"/>
    <n v="3"/>
    <x v="1"/>
    <s v="Clerical"/>
    <s v="No"/>
    <n v="2"/>
    <s v="1-2 Miles"/>
    <s v="Pacific"/>
    <n v="59"/>
    <s v="Yes"/>
    <m/>
    <n v="2500"/>
  </r>
  <r>
    <n v="12610"/>
    <s v="M"/>
    <s v="F"/>
    <n v="30000"/>
    <n v="1"/>
    <x v="0"/>
    <s v="Clerical"/>
    <s v="Yes"/>
    <n v="0"/>
    <s v="0-1 Miles"/>
    <s v="Europe"/>
    <n v="47"/>
    <s v="No"/>
    <m/>
    <n v="2500"/>
  </r>
  <r>
    <n v="27183"/>
    <s v="S"/>
    <s v="M"/>
    <n v="40000"/>
    <n v="2"/>
    <x v="1"/>
    <s v="Clerical"/>
    <s v="Yes"/>
    <n v="1"/>
    <s v="1-2 Miles"/>
    <s v="Europe"/>
    <n v="35"/>
    <s v="Yes"/>
    <m/>
    <n v="3333.3333333333335"/>
  </r>
  <r>
    <n v="25940"/>
    <s v="S"/>
    <s v="M"/>
    <n v="20000"/>
    <n v="2"/>
    <x v="3"/>
    <s v="Clerical"/>
    <s v="Yes"/>
    <n v="2"/>
    <s v="5-10 Miles"/>
    <s v="Pacific"/>
    <n v="55"/>
    <s v="Yes"/>
    <m/>
    <n v="1666.6666666666667"/>
  </r>
  <r>
    <n v="25598"/>
    <s v="M"/>
    <s v="F"/>
    <n v="40000"/>
    <n v="0"/>
    <x v="4"/>
    <s v="Clerical"/>
    <s v="Yes"/>
    <n v="0"/>
    <s v="0-1 Miles"/>
    <s v="Europe"/>
    <n v="36"/>
    <s v="Yes"/>
    <m/>
    <n v="3333.3333333333335"/>
  </r>
  <r>
    <n v="21564"/>
    <s v="S"/>
    <s v="F"/>
    <n v="80000"/>
    <n v="0"/>
    <x v="0"/>
    <s v="Professional"/>
    <s v="Yes"/>
    <n v="4"/>
    <s v="10+ Miles"/>
    <s v="Pacific"/>
    <n v="35"/>
    <s v="No"/>
    <m/>
    <n v="6666.666666666667"/>
  </r>
  <r>
    <n v="19193"/>
    <s v="S"/>
    <s v="M"/>
    <n v="40000"/>
    <n v="2"/>
    <x v="1"/>
    <s v="Clerical"/>
    <s v="Yes"/>
    <n v="0"/>
    <s v="1-2 Miles"/>
    <s v="Europe"/>
    <n v="35"/>
    <s v="Yes"/>
    <m/>
    <n v="3333.3333333333335"/>
  </r>
  <r>
    <n v="26412"/>
    <s v="M"/>
    <s v="F"/>
    <n v="80000"/>
    <n v="5"/>
    <x v="2"/>
    <s v="Management"/>
    <s v="No"/>
    <n v="3"/>
    <s v="5-10 Miles"/>
    <s v="Europe"/>
    <n v="56"/>
    <s v="No"/>
    <m/>
    <n v="6666.666666666667"/>
  </r>
  <r>
    <n v="27184"/>
    <s v="S"/>
    <s v="M"/>
    <n v="40000"/>
    <n v="2"/>
    <x v="1"/>
    <s v="Clerical"/>
    <s v="No"/>
    <n v="1"/>
    <s v="0-1 Miles"/>
    <s v="Europe"/>
    <n v="34"/>
    <s v="No"/>
    <m/>
    <n v="3333.3333333333335"/>
  </r>
  <r>
    <n v="12590"/>
    <s v="S"/>
    <s v="M"/>
    <n v="30000"/>
    <n v="1"/>
    <x v="0"/>
    <s v="Clerical"/>
    <s v="Yes"/>
    <n v="0"/>
    <s v="0-1 Miles"/>
    <s v="Europe"/>
    <n v="63"/>
    <s v="No"/>
    <m/>
    <n v="2500"/>
  </r>
  <r>
    <n v="17841"/>
    <s v="S"/>
    <s v="M"/>
    <n v="30000"/>
    <n v="0"/>
    <x v="1"/>
    <s v="Clerical"/>
    <s v="No"/>
    <n v="1"/>
    <s v="0-1 Miles"/>
    <s v="Europe"/>
    <n v="29"/>
    <s v="Yes"/>
    <m/>
    <n v="2500"/>
  </r>
  <r>
    <n v="18283"/>
    <s v="S"/>
    <s v="F"/>
    <n v="100000"/>
    <n v="0"/>
    <x v="0"/>
    <s v="Professional"/>
    <s v="No"/>
    <n v="1"/>
    <s v="5-10 Miles"/>
    <s v="Pacific"/>
    <n v="40"/>
    <s v="No"/>
    <m/>
    <n v="8333.3333333333339"/>
  </r>
  <r>
    <n v="18299"/>
    <s v="M"/>
    <s v="M"/>
    <n v="70000"/>
    <n v="5"/>
    <x v="1"/>
    <s v="Skilled Manual"/>
    <s v="Yes"/>
    <n v="2"/>
    <s v="5-10 Miles"/>
    <s v="Pacific"/>
    <n v="44"/>
    <s v="No"/>
    <m/>
    <n v="5833.333333333333"/>
  </r>
  <r>
    <n v="16466"/>
    <s v="S"/>
    <s v="F"/>
    <n v="20000"/>
    <n v="0"/>
    <x v="3"/>
    <s v="Manual"/>
    <s v="No"/>
    <n v="2"/>
    <s v="0-1 Miles"/>
    <s v="Europe"/>
    <n v="32"/>
    <s v="Yes"/>
    <m/>
    <n v="1666.6666666666667"/>
  </r>
  <r>
    <n v="19273"/>
    <s v="M"/>
    <s v="F"/>
    <n v="20000"/>
    <n v="2"/>
    <x v="1"/>
    <s v="Manual"/>
    <s v="Yes"/>
    <n v="0"/>
    <s v="0-1 Miles"/>
    <s v="Europe"/>
    <n v="63"/>
    <s v="No"/>
    <m/>
    <n v="1666.6666666666667"/>
  </r>
  <r>
    <n v="22400"/>
    <s v="M"/>
    <s v="M"/>
    <n v="10000"/>
    <n v="0"/>
    <x v="1"/>
    <s v="Manual"/>
    <s v="No"/>
    <n v="1"/>
    <s v="0-1 Miles"/>
    <s v="Pacific"/>
    <n v="26"/>
    <s v="Yes"/>
    <m/>
    <n v="833.33333333333337"/>
  </r>
  <r>
    <n v="20942"/>
    <s v="S"/>
    <s v="F"/>
    <n v="20000"/>
    <n v="0"/>
    <x v="2"/>
    <s v="Manual"/>
    <s v="No"/>
    <n v="1"/>
    <s v="5-10 Miles"/>
    <s v="Europe"/>
    <n v="31"/>
    <s v="No"/>
    <m/>
    <n v="1666.6666666666667"/>
  </r>
  <r>
    <n v="18484"/>
    <s v="S"/>
    <s v="M"/>
    <n v="80000"/>
    <n v="2"/>
    <x v="2"/>
    <s v="Skilled Manual"/>
    <s v="No"/>
    <n v="2"/>
    <s v="1-2 Miles"/>
    <s v="Pacific"/>
    <n v="50"/>
    <s v="Yes"/>
    <m/>
    <n v="6666.666666666667"/>
  </r>
  <r>
    <n v="12291"/>
    <s v="S"/>
    <s v="M"/>
    <n v="90000"/>
    <n v="5"/>
    <x v="1"/>
    <s v="Professional"/>
    <s v="No"/>
    <n v="2"/>
    <s v="2-5 Miles"/>
    <s v="Europe"/>
    <n v="62"/>
    <s v="Yes"/>
    <m/>
    <n v="7500"/>
  </r>
  <r>
    <n v="28380"/>
    <s v="S"/>
    <s v="F"/>
    <n v="10000"/>
    <n v="5"/>
    <x v="3"/>
    <s v="Manual"/>
    <s v="No"/>
    <n v="2"/>
    <s v="0-1 Miles"/>
    <s v="Europe"/>
    <n v="41"/>
    <s v="No"/>
    <m/>
    <n v="833.33333333333337"/>
  </r>
  <r>
    <n v="17891"/>
    <s v="M"/>
    <s v="F"/>
    <n v="10000"/>
    <n v="2"/>
    <x v="1"/>
    <s v="Manual"/>
    <s v="Yes"/>
    <n v="1"/>
    <s v="0-1 Miles"/>
    <s v="Europe"/>
    <n v="50"/>
    <s v="Yes"/>
    <m/>
    <n v="833.33333333333337"/>
  </r>
  <r>
    <n v="27832"/>
    <s v="S"/>
    <s v="F"/>
    <n v="30000"/>
    <n v="0"/>
    <x v="1"/>
    <s v="Clerical"/>
    <s v="No"/>
    <n v="1"/>
    <s v="2-5 Miles"/>
    <s v="Europe"/>
    <n v="30"/>
    <s v="No"/>
    <m/>
    <n v="2500"/>
  </r>
  <r>
    <n v="26863"/>
    <s v="S"/>
    <s v="M"/>
    <n v="20000"/>
    <n v="0"/>
    <x v="2"/>
    <s v="Manual"/>
    <s v="No"/>
    <n v="1"/>
    <s v="2-5 Miles"/>
    <s v="Europe"/>
    <n v="28"/>
    <s v="No"/>
    <m/>
    <n v="1666.6666666666667"/>
  </r>
  <r>
    <n v="16259"/>
    <s v="S"/>
    <s v="F"/>
    <n v="10000"/>
    <n v="4"/>
    <x v="3"/>
    <s v="Manual"/>
    <s v="Yes"/>
    <n v="2"/>
    <s v="0-1 Miles"/>
    <s v="Europe"/>
    <n v="40"/>
    <s v="Yes"/>
    <m/>
    <n v="833.33333333333337"/>
  </r>
  <r>
    <n v="27803"/>
    <s v="S"/>
    <s v="F"/>
    <n v="30000"/>
    <n v="2"/>
    <x v="1"/>
    <s v="Clerical"/>
    <s v="No"/>
    <n v="0"/>
    <s v="0-1 Miles"/>
    <s v="Europe"/>
    <n v="43"/>
    <s v="No"/>
    <m/>
    <n v="2500"/>
  </r>
  <r>
    <n v="14347"/>
    <s v="S"/>
    <s v="F"/>
    <n v="40000"/>
    <n v="2"/>
    <x v="0"/>
    <s v="Management"/>
    <s v="Yes"/>
    <n v="2"/>
    <s v="5-10 Miles"/>
    <s v="Pacific"/>
    <n v="65"/>
    <s v="Yes"/>
    <m/>
    <n v="3333.3333333333335"/>
  </r>
  <r>
    <n v="17703"/>
    <s v="M"/>
    <s v="F"/>
    <n v="10000"/>
    <n v="1"/>
    <x v="4"/>
    <s v="Manual"/>
    <s v="Yes"/>
    <n v="0"/>
    <s v="0-1 Miles"/>
    <s v="Europe"/>
    <n v="40"/>
    <s v="No"/>
    <m/>
    <n v="833.33333333333337"/>
  </r>
  <r>
    <n v="17185"/>
    <s v="M"/>
    <s v="F"/>
    <n v="170000"/>
    <n v="4"/>
    <x v="1"/>
    <s v="Professional"/>
    <s v="No"/>
    <n v="3"/>
    <s v="5-10 Miles"/>
    <s v="Europe"/>
    <n v="48"/>
    <s v="Yes"/>
    <m/>
    <n v="14166.666666666666"/>
  </r>
  <r>
    <n v="29380"/>
    <s v="M"/>
    <s v="F"/>
    <n v="20000"/>
    <n v="3"/>
    <x v="2"/>
    <s v="Manual"/>
    <s v="Yes"/>
    <n v="0"/>
    <s v="0-1 Miles"/>
    <s v="Europe"/>
    <n v="41"/>
    <s v="Yes"/>
    <m/>
    <n v="1666.6666666666667"/>
  </r>
  <r>
    <n v="23986"/>
    <s v="M"/>
    <s v="F"/>
    <n v="20000"/>
    <n v="1"/>
    <x v="0"/>
    <s v="Clerical"/>
    <s v="Yes"/>
    <n v="0"/>
    <s v="0-1 Miles"/>
    <s v="Europe"/>
    <n v="66"/>
    <s v="Yes"/>
    <m/>
    <n v="1666.6666666666667"/>
  </r>
  <r>
    <n v="24466"/>
    <s v="M"/>
    <s v="F"/>
    <n v="60000"/>
    <n v="1"/>
    <x v="1"/>
    <s v="Skilled Manual"/>
    <s v="Yes"/>
    <n v="1"/>
    <s v="5-10 Miles"/>
    <s v="Pacific"/>
    <n v="46"/>
    <s v="Yes"/>
    <m/>
    <n v="5000"/>
  </r>
  <r>
    <n v="29097"/>
    <s v="S"/>
    <s v="F"/>
    <n v="40000"/>
    <n v="2"/>
    <x v="1"/>
    <s v="Skilled Manual"/>
    <s v="Yes"/>
    <n v="2"/>
    <s v="5-10 Miles"/>
    <s v="Pacific"/>
    <n v="52"/>
    <s v="Yes"/>
    <m/>
    <n v="3333.3333333333335"/>
  </r>
  <r>
    <n v="19487"/>
    <s v="M"/>
    <s v="M"/>
    <n v="30000"/>
    <n v="2"/>
    <x v="1"/>
    <s v="Clerical"/>
    <s v="No"/>
    <n v="2"/>
    <s v="0-1 Miles"/>
    <s v="Europe"/>
    <n v="42"/>
    <s v="No"/>
    <m/>
    <n v="2500"/>
  </r>
  <r>
    <n v="14939"/>
    <s v="S"/>
    <s v="M"/>
    <n v="40000"/>
    <n v="0"/>
    <x v="0"/>
    <s v="Clerical"/>
    <s v="Yes"/>
    <n v="0"/>
    <s v="0-1 Miles"/>
    <s v="Europe"/>
    <n v="39"/>
    <s v="Yes"/>
    <m/>
    <n v="3333.3333333333335"/>
  </r>
  <r>
    <n v="13826"/>
    <s v="S"/>
    <s v="F"/>
    <n v="30000"/>
    <n v="0"/>
    <x v="1"/>
    <s v="Clerical"/>
    <s v="No"/>
    <n v="1"/>
    <s v="0-1 Miles"/>
    <s v="Europe"/>
    <n v="28"/>
    <s v="No"/>
    <m/>
    <n v="2500"/>
  </r>
  <r>
    <n v="20619"/>
    <s v="S"/>
    <s v="M"/>
    <n v="80000"/>
    <n v="0"/>
    <x v="0"/>
    <s v="Professional"/>
    <s v="No"/>
    <n v="4"/>
    <s v="10+ Miles"/>
    <s v="Pacific"/>
    <n v="35"/>
    <s v="No"/>
    <m/>
    <n v="6666.666666666667"/>
  </r>
  <r>
    <n v="12558"/>
    <s v="M"/>
    <s v="F"/>
    <n v="20000"/>
    <n v="1"/>
    <x v="0"/>
    <s v="Clerical"/>
    <s v="Yes"/>
    <n v="0"/>
    <s v="0-1 Miles"/>
    <s v="Europe"/>
    <n v="65"/>
    <s v="No"/>
    <m/>
    <n v="1666.6666666666667"/>
  </r>
  <r>
    <n v="24871"/>
    <s v="S"/>
    <s v="F"/>
    <n v="90000"/>
    <n v="4"/>
    <x v="2"/>
    <s v="Management"/>
    <s v="No"/>
    <n v="3"/>
    <s v="5-10 Miles"/>
    <s v="Europe"/>
    <n v="56"/>
    <s v="No"/>
    <m/>
    <n v="7500"/>
  </r>
  <r>
    <n v="17319"/>
    <s v="S"/>
    <s v="F"/>
    <n v="70000"/>
    <n v="0"/>
    <x v="0"/>
    <s v="Professional"/>
    <s v="No"/>
    <n v="1"/>
    <s v="5-10 Miles"/>
    <s v="Pacific"/>
    <n v="42"/>
    <s v="No"/>
    <m/>
    <n v="5833.333333333333"/>
  </r>
  <r>
    <n v="28906"/>
    <s v="M"/>
    <s v="M"/>
    <n v="80000"/>
    <n v="4"/>
    <x v="2"/>
    <s v="Professional"/>
    <s v="Yes"/>
    <n v="2"/>
    <s v="10+ Miles"/>
    <s v="Europe"/>
    <n v="54"/>
    <s v="No"/>
    <m/>
    <n v="6666.666666666667"/>
  </r>
  <r>
    <n v="12808"/>
    <s v="M"/>
    <s v="M"/>
    <n v="40000"/>
    <n v="0"/>
    <x v="0"/>
    <s v="Clerical"/>
    <s v="Yes"/>
    <n v="0"/>
    <s v="0-1 Miles"/>
    <s v="Europe"/>
    <n v="38"/>
    <s v="Yes"/>
    <m/>
    <n v="3333.3333333333335"/>
  </r>
  <r>
    <n v="20567"/>
    <s v="M"/>
    <s v="M"/>
    <n v="130000"/>
    <n v="4"/>
    <x v="1"/>
    <s v="Professional"/>
    <s v="No"/>
    <n v="4"/>
    <s v="5-10 Miles"/>
    <s v="Europe"/>
    <n v="61"/>
    <s v="Yes"/>
    <m/>
    <n v="10833.333333333334"/>
  </r>
  <r>
    <n v="25502"/>
    <s v="M"/>
    <s v="F"/>
    <n v="40000"/>
    <n v="1"/>
    <x v="0"/>
    <s v="Skilled Manual"/>
    <s v="Yes"/>
    <n v="0"/>
    <s v="0-1 Miles"/>
    <s v="Europe"/>
    <n v="43"/>
    <s v="Yes"/>
    <m/>
    <n v="3333.3333333333335"/>
  </r>
  <r>
    <n v="15580"/>
    <s v="M"/>
    <s v="M"/>
    <n v="60000"/>
    <n v="2"/>
    <x v="0"/>
    <s v="Professional"/>
    <s v="Yes"/>
    <n v="1"/>
    <s v="2-5 Miles"/>
    <s v="Pacific"/>
    <n v="38"/>
    <s v="Yes"/>
    <m/>
    <n v="5000"/>
  </r>
  <r>
    <n v="24185"/>
    <s v="S"/>
    <s v="F"/>
    <n v="10000"/>
    <n v="1"/>
    <x v="2"/>
    <s v="Manual"/>
    <s v="No"/>
    <n v="1"/>
    <s v="1-2 Miles"/>
    <s v="Europe"/>
    <n v="45"/>
    <s v="No"/>
    <m/>
    <n v="833.33333333333337"/>
  </r>
  <r>
    <n v="19291"/>
    <s v="S"/>
    <s v="F"/>
    <n v="10000"/>
    <n v="2"/>
    <x v="2"/>
    <s v="Manual"/>
    <s v="Yes"/>
    <n v="0"/>
    <s v="0-1 Miles"/>
    <s v="Europe"/>
    <n v="35"/>
    <s v="No"/>
    <m/>
    <n v="833.33333333333337"/>
  </r>
  <r>
    <n v="16713"/>
    <s v="M"/>
    <s v="M"/>
    <n v="40000"/>
    <n v="2"/>
    <x v="0"/>
    <s v="Management"/>
    <s v="Yes"/>
    <n v="1"/>
    <s v="0-1 Miles"/>
    <s v="Pacific"/>
    <n v="52"/>
    <s v="Yes"/>
    <m/>
    <n v="3333.3333333333335"/>
  </r>
  <r>
    <n v="16185"/>
    <s v="S"/>
    <s v="M"/>
    <n v="60000"/>
    <n v="4"/>
    <x v="0"/>
    <s v="Professional"/>
    <s v="Yes"/>
    <n v="3"/>
    <s v="10+ Miles"/>
    <s v="Pacific"/>
    <n v="41"/>
    <s v="No"/>
    <m/>
    <n v="5000"/>
  </r>
  <r>
    <n v="14927"/>
    <s v="M"/>
    <s v="F"/>
    <n v="30000"/>
    <n v="1"/>
    <x v="0"/>
    <s v="Clerical"/>
    <s v="Yes"/>
    <n v="0"/>
    <s v="0-1 Miles"/>
    <s v="Europe"/>
    <n v="37"/>
    <s v="Yes"/>
    <m/>
    <n v="2500"/>
  </r>
  <r>
    <n v="29337"/>
    <s v="S"/>
    <s v="M"/>
    <n v="30000"/>
    <n v="2"/>
    <x v="1"/>
    <s v="Clerical"/>
    <s v="Yes"/>
    <n v="2"/>
    <s v="5-10 Miles"/>
    <s v="Pacific"/>
    <n v="68"/>
    <s v="No"/>
    <m/>
    <n v="2500"/>
  </r>
  <r>
    <n v="29355"/>
    <s v="M"/>
    <s v="F"/>
    <n v="40000"/>
    <n v="0"/>
    <x v="4"/>
    <s v="Clerical"/>
    <s v="Yes"/>
    <n v="0"/>
    <s v="0-1 Miles"/>
    <s v="Europe"/>
    <n v="37"/>
    <s v="Yes"/>
    <m/>
    <n v="3333.3333333333335"/>
  </r>
  <r>
    <n v="25303"/>
    <s v="S"/>
    <s v="M"/>
    <n v="30000"/>
    <n v="0"/>
    <x v="2"/>
    <s v="Manual"/>
    <s v="Yes"/>
    <n v="1"/>
    <s v="2-5 Miles"/>
    <s v="Europe"/>
    <n v="33"/>
    <s v="Yes"/>
    <m/>
    <n v="2500"/>
  </r>
  <r>
    <n v="14813"/>
    <s v="S"/>
    <s v="F"/>
    <n v="20000"/>
    <n v="4"/>
    <x v="2"/>
    <s v="Manual"/>
    <s v="Yes"/>
    <n v="1"/>
    <s v="0-1 Miles"/>
    <s v="Europe"/>
    <n v="43"/>
    <s v="Yes"/>
    <m/>
    <n v="1666.6666666666667"/>
  </r>
  <r>
    <n v="16438"/>
    <s v="M"/>
    <s v="F"/>
    <n v="10000"/>
    <n v="0"/>
    <x v="3"/>
    <s v="Manual"/>
    <s v="No"/>
    <n v="2"/>
    <s v="0-1 Miles"/>
    <s v="Europe"/>
    <n v="30"/>
    <s v="No"/>
    <m/>
    <n v="833.33333333333337"/>
  </r>
  <r>
    <n v="14238"/>
    <s v="M"/>
    <s v="M"/>
    <n v="120000"/>
    <n v="0"/>
    <x v="3"/>
    <s v="Professional"/>
    <s v="Yes"/>
    <n v="4"/>
    <s v="10+ Miles"/>
    <s v="Pacific"/>
    <n v="36"/>
    <s v="Yes"/>
    <m/>
    <n v="10000"/>
  </r>
  <r>
    <n v="16200"/>
    <s v="S"/>
    <s v="F"/>
    <n v="10000"/>
    <n v="0"/>
    <x v="3"/>
    <s v="Manual"/>
    <s v="No"/>
    <n v="2"/>
    <s v="0-1 Miles"/>
    <s v="Europe"/>
    <n v="35"/>
    <s v="No"/>
    <m/>
    <n v="833.33333333333337"/>
  </r>
  <r>
    <n v="24857"/>
    <s v="M"/>
    <s v="F"/>
    <n v="130000"/>
    <n v="3"/>
    <x v="2"/>
    <s v="Professional"/>
    <s v="Yes"/>
    <n v="4"/>
    <s v="0-1 Miles"/>
    <s v="Europe"/>
    <n v="52"/>
    <s v="No"/>
    <m/>
    <n v="10833.333333333334"/>
  </r>
  <r>
    <n v="26956"/>
    <s v="S"/>
    <s v="F"/>
    <n v="20000"/>
    <n v="0"/>
    <x v="1"/>
    <s v="Manual"/>
    <s v="No"/>
    <n v="1"/>
    <s v="2-5 Miles"/>
    <s v="Europe"/>
    <n v="36"/>
    <s v="Yes"/>
    <m/>
    <n v="1666.6666666666667"/>
  </r>
  <r>
    <n v="14517"/>
    <s v="M"/>
    <s v="F"/>
    <n v="20000"/>
    <n v="3"/>
    <x v="2"/>
    <s v="Skilled Manual"/>
    <s v="No"/>
    <n v="2"/>
    <s v="1-2 Miles"/>
    <s v="Pacific"/>
    <n v="62"/>
    <s v="No"/>
    <m/>
    <n v="1666.6666666666667"/>
  </r>
  <r>
    <n v="12678"/>
    <s v="S"/>
    <s v="F"/>
    <n v="130000"/>
    <n v="4"/>
    <x v="2"/>
    <s v="Management"/>
    <s v="Yes"/>
    <n v="4"/>
    <s v="0-1 Miles"/>
    <s v="Pacific"/>
    <n v="31"/>
    <s v="No"/>
    <m/>
    <n v="10833.333333333334"/>
  </r>
  <r>
    <n v="16188"/>
    <s v="S"/>
    <s v="F"/>
    <n v="20000"/>
    <n v="0"/>
    <x v="3"/>
    <s v="Manual"/>
    <s v="No"/>
    <n v="2"/>
    <s v="1-2 Miles"/>
    <s v="Europe"/>
    <n v="26"/>
    <s v="No"/>
    <m/>
    <n v="1666.6666666666667"/>
  </r>
  <r>
    <n v="27969"/>
    <s v="M"/>
    <s v="M"/>
    <n v="80000"/>
    <n v="0"/>
    <x v="0"/>
    <s v="Professional"/>
    <s v="Yes"/>
    <n v="2"/>
    <s v="10+ Miles"/>
    <s v="Pacific"/>
    <n v="29"/>
    <s v="Yes"/>
    <m/>
    <n v="6666.666666666667"/>
  </r>
  <r>
    <n v="15752"/>
    <s v="M"/>
    <s v="M"/>
    <n v="80000"/>
    <n v="2"/>
    <x v="2"/>
    <s v="Skilled Manual"/>
    <s v="No"/>
    <n v="2"/>
    <s v="1-2 Miles"/>
    <s v="Pacific"/>
    <n v="50"/>
    <s v="Yes"/>
    <m/>
    <n v="6666.666666666667"/>
  </r>
  <r>
    <n v="27745"/>
    <s v="S"/>
    <s v="M"/>
    <n v="40000"/>
    <n v="2"/>
    <x v="0"/>
    <s v="Management"/>
    <s v="Yes"/>
    <n v="2"/>
    <s v="5-10 Miles"/>
    <s v="Pacific"/>
    <n v="63"/>
    <s v="Yes"/>
    <m/>
    <n v="3333.3333333333335"/>
  </r>
  <r>
    <n v="20828"/>
    <s v="M"/>
    <s v="F"/>
    <n v="30000"/>
    <n v="4"/>
    <x v="4"/>
    <s v="Clerical"/>
    <s v="Yes"/>
    <n v="0"/>
    <s v="0-1 Miles"/>
    <s v="Europe"/>
    <n v="45"/>
    <s v="Yes"/>
    <m/>
    <n v="2500"/>
  </r>
  <r>
    <n v="19461"/>
    <s v="S"/>
    <s v="F"/>
    <n v="10000"/>
    <n v="4"/>
    <x v="3"/>
    <s v="Manual"/>
    <s v="Yes"/>
    <n v="2"/>
    <s v="0-1 Miles"/>
    <s v="Europe"/>
    <n v="40"/>
    <s v="No"/>
    <m/>
    <n v="833.33333333333337"/>
  </r>
  <r>
    <n v="26941"/>
    <s v="M"/>
    <s v="M"/>
    <n v="30000"/>
    <n v="0"/>
    <x v="0"/>
    <s v="Clerical"/>
    <s v="Yes"/>
    <n v="0"/>
    <s v="0-1 Miles"/>
    <s v="Europe"/>
    <n v="47"/>
    <s v="Yes"/>
    <m/>
    <n v="2500"/>
  </r>
  <r>
    <n v="28412"/>
    <s v="S"/>
    <s v="M"/>
    <n v="20000"/>
    <n v="0"/>
    <x v="2"/>
    <s v="Manual"/>
    <s v="No"/>
    <n v="1"/>
    <s v="2-5 Miles"/>
    <s v="Europe"/>
    <n v="29"/>
    <s v="No"/>
    <m/>
    <n v="1666.6666666666667"/>
  </r>
  <r>
    <n v="24485"/>
    <s v="S"/>
    <s v="M"/>
    <n v="40000"/>
    <n v="2"/>
    <x v="0"/>
    <s v="Management"/>
    <s v="No"/>
    <n v="1"/>
    <s v="5-10 Miles"/>
    <s v="Pacific"/>
    <n v="52"/>
    <s v="Yes"/>
    <m/>
    <n v="3333.3333333333335"/>
  </r>
  <r>
    <n v="16514"/>
    <s v="S"/>
    <s v="M"/>
    <n v="10000"/>
    <n v="0"/>
    <x v="1"/>
    <s v="Manual"/>
    <s v="Yes"/>
    <n v="1"/>
    <s v="1-2 Miles"/>
    <s v="Pacific"/>
    <n v="26"/>
    <s v="Yes"/>
    <m/>
    <n v="833.33333333333337"/>
  </r>
  <r>
    <n v="17191"/>
    <s v="S"/>
    <s v="M"/>
    <n v="130000"/>
    <n v="3"/>
    <x v="1"/>
    <s v="Professional"/>
    <s v="No"/>
    <n v="3"/>
    <s v="0-1 Miles"/>
    <s v="Europe"/>
    <n v="51"/>
    <s v="Yes"/>
    <m/>
    <n v="10833.333333333334"/>
  </r>
  <r>
    <n v="19608"/>
    <s v="M"/>
    <s v="M"/>
    <n v="80000"/>
    <n v="5"/>
    <x v="0"/>
    <s v="Professional"/>
    <s v="Yes"/>
    <n v="4"/>
    <s v="1-2 Miles"/>
    <s v="Pacific"/>
    <n v="40"/>
    <s v="No"/>
    <m/>
    <n v="6666.666666666667"/>
  </r>
  <r>
    <n v="24119"/>
    <s v="S"/>
    <s v="M"/>
    <n v="30000"/>
    <n v="0"/>
    <x v="1"/>
    <s v="Clerical"/>
    <s v="No"/>
    <n v="1"/>
    <s v="2-5 Miles"/>
    <s v="Europe"/>
    <n v="29"/>
    <s v="No"/>
    <m/>
    <n v="2500"/>
  </r>
  <r>
    <n v="25458"/>
    <s v="M"/>
    <s v="M"/>
    <n v="20000"/>
    <n v="1"/>
    <x v="2"/>
    <s v="Manual"/>
    <s v="No"/>
    <n v="1"/>
    <s v="1-2 Miles"/>
    <s v="Europe"/>
    <n v="40"/>
    <s v="Yes"/>
    <m/>
    <n v="1666.6666666666667"/>
  </r>
  <r>
    <n v="26886"/>
    <s v="S"/>
    <s v="F"/>
    <n v="30000"/>
    <n v="0"/>
    <x v="1"/>
    <s v="Clerical"/>
    <s v="No"/>
    <n v="1"/>
    <s v="0-1 Miles"/>
    <s v="Europe"/>
    <n v="29"/>
    <s v="Yes"/>
    <m/>
    <n v="2500"/>
  </r>
  <r>
    <n v="28436"/>
    <s v="S"/>
    <s v="M"/>
    <n v="30000"/>
    <n v="0"/>
    <x v="1"/>
    <s v="Clerical"/>
    <s v="No"/>
    <n v="1"/>
    <s v="0-1 Miles"/>
    <s v="Europe"/>
    <n v="30"/>
    <s v="Yes"/>
    <m/>
    <n v="2500"/>
  </r>
  <r>
    <n v="19562"/>
    <s v="S"/>
    <s v="F"/>
    <n v="60000"/>
    <n v="2"/>
    <x v="0"/>
    <s v="Professional"/>
    <s v="Yes"/>
    <n v="1"/>
    <s v="2-5 Miles"/>
    <s v="Pacific"/>
    <n v="37"/>
    <s v="Yes"/>
    <m/>
    <n v="5000"/>
  </r>
  <r>
    <n v="15608"/>
    <s v="S"/>
    <s v="F"/>
    <n v="30000"/>
    <n v="0"/>
    <x v="1"/>
    <s v="Clerical"/>
    <s v="No"/>
    <n v="1"/>
    <s v="2-5 Miles"/>
    <s v="Europe"/>
    <n v="33"/>
    <s v="No"/>
    <m/>
    <n v="2500"/>
  </r>
  <r>
    <n v="16487"/>
    <s v="S"/>
    <s v="F"/>
    <n v="30000"/>
    <n v="3"/>
    <x v="2"/>
    <s v="Skilled Manual"/>
    <s v="Yes"/>
    <n v="2"/>
    <s v="5-10 Miles"/>
    <s v="Pacific"/>
    <n v="55"/>
    <s v="No"/>
    <m/>
    <n v="2500"/>
  </r>
  <r>
    <n v="17197"/>
    <s v="S"/>
    <s v="F"/>
    <n v="90000"/>
    <n v="5"/>
    <x v="1"/>
    <s v="Professional"/>
    <s v="Yes"/>
    <n v="2"/>
    <s v="10+ Miles"/>
    <s v="Europe"/>
    <n v="62"/>
    <s v="No"/>
    <m/>
    <n v="7500"/>
  </r>
  <r>
    <n v="12507"/>
    <s v="M"/>
    <s v="M"/>
    <n v="30000"/>
    <n v="1"/>
    <x v="1"/>
    <s v="Clerical"/>
    <s v="Yes"/>
    <n v="1"/>
    <s v="0-1 Miles"/>
    <s v="Europe"/>
    <n v="43"/>
    <s v="No"/>
    <m/>
    <n v="2500"/>
  </r>
  <r>
    <n v="23940"/>
    <s v="M"/>
    <s v="M"/>
    <n v="40000"/>
    <n v="1"/>
    <x v="0"/>
    <s v="Skilled Manual"/>
    <s v="Yes"/>
    <n v="1"/>
    <s v="0-1 Miles"/>
    <s v="Europe"/>
    <n v="44"/>
    <s v="Yes"/>
    <m/>
    <n v="3333.3333333333335"/>
  </r>
  <r>
    <n v="19441"/>
    <s v="M"/>
    <s v="M"/>
    <n v="40000"/>
    <n v="0"/>
    <x v="4"/>
    <s v="Clerical"/>
    <s v="Yes"/>
    <n v="0"/>
    <s v="0-1 Miles"/>
    <s v="Europe"/>
    <n v="25"/>
    <s v="Yes"/>
    <m/>
    <n v="3333.3333333333335"/>
  </r>
  <r>
    <n v="26852"/>
    <s v="M"/>
    <s v="F"/>
    <n v="20000"/>
    <n v="3"/>
    <x v="2"/>
    <s v="Manual"/>
    <s v="Yes"/>
    <n v="2"/>
    <s v="0-1 Miles"/>
    <s v="Europe"/>
    <n v="43"/>
    <s v="No"/>
    <m/>
    <n v="1666.6666666666667"/>
  </r>
  <r>
    <n v="12274"/>
    <s v="S"/>
    <s v="M"/>
    <n v="10000"/>
    <n v="2"/>
    <x v="2"/>
    <s v="Manual"/>
    <s v="Yes"/>
    <n v="0"/>
    <s v="0-1 Miles"/>
    <s v="Europe"/>
    <n v="35"/>
    <s v="No"/>
    <m/>
    <n v="833.33333333333337"/>
  </r>
  <r>
    <n v="20236"/>
    <s v="S"/>
    <s v="M"/>
    <n v="60000"/>
    <n v="3"/>
    <x v="0"/>
    <s v="Professional"/>
    <s v="No"/>
    <n v="2"/>
    <s v="0-1 Miles"/>
    <s v="Pacific"/>
    <n v="43"/>
    <s v="Yes"/>
    <m/>
    <n v="5000"/>
  </r>
  <r>
    <n v="24149"/>
    <s v="M"/>
    <s v="M"/>
    <n v="10000"/>
    <n v="2"/>
    <x v="1"/>
    <s v="Manual"/>
    <s v="Yes"/>
    <n v="0"/>
    <s v="1-2 Miles"/>
    <s v="Europe"/>
    <n v="49"/>
    <s v="No"/>
    <m/>
    <n v="833.33333333333337"/>
  </r>
  <r>
    <n v="26139"/>
    <s v="S"/>
    <s v="M"/>
    <n v="60000"/>
    <n v="1"/>
    <x v="1"/>
    <s v="Skilled Manual"/>
    <s v="Yes"/>
    <n v="1"/>
    <s v="5-10 Miles"/>
    <s v="Pacific"/>
    <n v="45"/>
    <s v="No"/>
    <m/>
    <n v="5000"/>
  </r>
  <r>
    <n v="18491"/>
    <s v="S"/>
    <s v="F"/>
    <n v="70000"/>
    <n v="2"/>
    <x v="2"/>
    <s v="Professional"/>
    <s v="Yes"/>
    <n v="2"/>
    <s v="5-10 Miles"/>
    <s v="Pacific"/>
    <n v="49"/>
    <s v="Yes"/>
    <m/>
    <n v="5833.333333333333"/>
  </r>
  <r>
    <n v="22707"/>
    <s v="S"/>
    <s v="F"/>
    <n v="30000"/>
    <n v="0"/>
    <x v="1"/>
    <s v="Clerical"/>
    <s v="No"/>
    <n v="1"/>
    <s v="2-5 Miles"/>
    <s v="Europe"/>
    <n v="30"/>
    <s v="No"/>
    <m/>
    <n v="2500"/>
  </r>
  <r>
    <n v="20430"/>
    <s v="M"/>
    <s v="M"/>
    <n v="70000"/>
    <n v="2"/>
    <x v="1"/>
    <s v="Skilled Manual"/>
    <s v="Yes"/>
    <n v="2"/>
    <s v="5-10 Miles"/>
    <s v="Pacific"/>
    <n v="52"/>
    <s v="Yes"/>
    <m/>
    <n v="5833.333333333333"/>
  </r>
  <r>
    <n v="27494"/>
    <s v="S"/>
    <s v="F"/>
    <n v="40000"/>
    <n v="2"/>
    <x v="1"/>
    <s v="Skilled Manual"/>
    <s v="No"/>
    <n v="2"/>
    <s v="1-2 Miles"/>
    <s v="Pacific"/>
    <n v="53"/>
    <s v="Yes"/>
    <m/>
    <n v="3333.3333333333335"/>
  </r>
  <r>
    <n v="26829"/>
    <s v="M"/>
    <s v="F"/>
    <n v="40000"/>
    <n v="0"/>
    <x v="0"/>
    <s v="Clerical"/>
    <s v="Yes"/>
    <n v="0"/>
    <s v="0-1 Miles"/>
    <s v="Europe"/>
    <n v="38"/>
    <s v="Yes"/>
    <m/>
    <n v="3333.3333333333335"/>
  </r>
  <r>
    <n v="28395"/>
    <s v="S"/>
    <s v="M"/>
    <n v="40000"/>
    <n v="0"/>
    <x v="0"/>
    <s v="Professional"/>
    <s v="No"/>
    <n v="0"/>
    <s v="0-1 Miles"/>
    <s v="Europe"/>
    <n v="39"/>
    <s v="Yes"/>
    <m/>
    <n v="3333.3333333333335"/>
  </r>
  <r>
    <n v="21006"/>
    <s v="S"/>
    <s v="F"/>
    <n v="30000"/>
    <n v="1"/>
    <x v="1"/>
    <s v="Manual"/>
    <s v="No"/>
    <n v="0"/>
    <s v="0-1 Miles"/>
    <s v="Europe"/>
    <n v="46"/>
    <s v="Yes"/>
    <m/>
    <n v="2500"/>
  </r>
  <r>
    <n v="14682"/>
    <s v="S"/>
    <s v="F"/>
    <n v="70000"/>
    <n v="0"/>
    <x v="0"/>
    <s v="Professional"/>
    <s v="No"/>
    <n v="1"/>
    <s v="5-10 Miles"/>
    <s v="Pacific"/>
    <n v="38"/>
    <s v="No"/>
    <m/>
    <n v="5833.333333333333"/>
  </r>
  <r>
    <n v="17650"/>
    <s v="S"/>
    <s v="F"/>
    <n v="40000"/>
    <n v="2"/>
    <x v="1"/>
    <s v="Clerical"/>
    <s v="Yes"/>
    <n v="2"/>
    <s v="1-2 Miles"/>
    <s v="Europe"/>
    <n v="35"/>
    <s v="No"/>
    <m/>
    <n v="3333.3333333333335"/>
  </r>
  <r>
    <n v="29191"/>
    <s v="S"/>
    <s v="F"/>
    <n v="130000"/>
    <n v="1"/>
    <x v="4"/>
    <s v="Management"/>
    <s v="No"/>
    <n v="1"/>
    <s v="0-1 Miles"/>
    <s v="Pacific"/>
    <n v="36"/>
    <s v="Yes"/>
    <m/>
    <n v="10833.333333333334"/>
  </r>
  <r>
    <n v="15030"/>
    <s v="M"/>
    <s v="M"/>
    <n v="20000"/>
    <n v="0"/>
    <x v="0"/>
    <s v="Clerical"/>
    <s v="Yes"/>
    <n v="0"/>
    <s v="0-1 Miles"/>
    <s v="Pacific"/>
    <n v="26"/>
    <s v="Yes"/>
    <m/>
    <n v="1666.6666666666667"/>
  </r>
  <r>
    <n v="24140"/>
    <s v="S"/>
    <s v="M"/>
    <n v="10000"/>
    <n v="0"/>
    <x v="4"/>
    <s v="Manual"/>
    <s v="No"/>
    <n v="0"/>
    <s v="0-1 Miles"/>
    <s v="Europe"/>
    <n v="30"/>
    <s v="Yes"/>
    <m/>
    <n v="833.33333333333337"/>
  </r>
  <r>
    <n v="22496"/>
    <s v="M"/>
    <s v="F"/>
    <n v="30000"/>
    <n v="1"/>
    <x v="0"/>
    <s v="Skilled Manual"/>
    <s v="Yes"/>
    <n v="2"/>
    <s v="0-1 Miles"/>
    <s v="Europe"/>
    <n v="42"/>
    <s v="No"/>
    <m/>
    <n v="2500"/>
  </r>
  <r>
    <n v="24065"/>
    <s v="S"/>
    <s v="F"/>
    <n v="20000"/>
    <n v="0"/>
    <x v="2"/>
    <s v="Manual"/>
    <s v="Yes"/>
    <n v="0"/>
    <s v="0-1 Miles"/>
    <s v="Europe"/>
    <n v="40"/>
    <s v="Yes"/>
    <m/>
    <n v="1666.6666666666667"/>
  </r>
  <r>
    <n v="19914"/>
    <s v="M"/>
    <s v="M"/>
    <n v="80000"/>
    <n v="5"/>
    <x v="0"/>
    <s v="Management"/>
    <s v="Yes"/>
    <n v="2"/>
    <s v="2-5 Miles"/>
    <s v="Europe"/>
    <n v="62"/>
    <s v="No"/>
    <m/>
    <n v="6666.666666666667"/>
  </r>
  <r>
    <n v="12871"/>
    <s v="S"/>
    <s v="F"/>
    <n v="30000"/>
    <n v="0"/>
    <x v="1"/>
    <s v="Clerical"/>
    <s v="No"/>
    <n v="1"/>
    <s v="2-5 Miles"/>
    <s v="Europe"/>
    <n v="29"/>
    <s v="No"/>
    <m/>
    <n v="2500"/>
  </r>
  <r>
    <n v="22988"/>
    <s v="M"/>
    <s v="F"/>
    <n v="40000"/>
    <n v="2"/>
    <x v="0"/>
    <s v="Management"/>
    <s v="Yes"/>
    <n v="2"/>
    <s v="5-10 Miles"/>
    <s v="Pacific"/>
    <n v="66"/>
    <s v="Yes"/>
    <m/>
    <n v="3333.3333333333335"/>
  </r>
  <r>
    <n v="15922"/>
    <s v="M"/>
    <s v="M"/>
    <n v="150000"/>
    <n v="2"/>
    <x v="2"/>
    <s v="Professional"/>
    <s v="Yes"/>
    <n v="4"/>
    <s v="0-1 Miles"/>
    <s v="Europe"/>
    <n v="48"/>
    <s v="No"/>
    <m/>
    <n v="12500"/>
  </r>
  <r>
    <n v="12344"/>
    <s v="S"/>
    <s v="F"/>
    <n v="80000"/>
    <n v="0"/>
    <x v="0"/>
    <s v="Professional"/>
    <s v="No"/>
    <n v="3"/>
    <s v="10+ Miles"/>
    <s v="Pacific"/>
    <n v="31"/>
    <s v="No"/>
    <m/>
    <n v="6666.666666666667"/>
  </r>
  <r>
    <n v="23627"/>
    <s v="S"/>
    <s v="F"/>
    <n v="100000"/>
    <n v="3"/>
    <x v="1"/>
    <s v="Management"/>
    <s v="No"/>
    <n v="4"/>
    <s v="5-10 Miles"/>
    <s v="Europe"/>
    <n v="56"/>
    <s v="No"/>
    <m/>
    <n v="8333.3333333333339"/>
  </r>
  <r>
    <n v="27775"/>
    <s v="S"/>
    <s v="F"/>
    <n v="40000"/>
    <n v="0"/>
    <x v="0"/>
    <s v="Clerical"/>
    <s v="No"/>
    <n v="0"/>
    <s v="0-1 Miles"/>
    <s v="Europe"/>
    <n v="38"/>
    <s v="Yes"/>
    <m/>
    <n v="3333.3333333333335"/>
  </r>
  <r>
    <n v="29301"/>
    <s v="M"/>
    <s v="M"/>
    <n v="80000"/>
    <n v="5"/>
    <x v="0"/>
    <s v="Professional"/>
    <s v="Yes"/>
    <n v="4"/>
    <s v="1-2 Miles"/>
    <s v="Pacific"/>
    <n v="40"/>
    <s v="No"/>
    <m/>
    <n v="6666.666666666667"/>
  </r>
  <r>
    <n v="12716"/>
    <s v="S"/>
    <s v="M"/>
    <n v="30000"/>
    <n v="0"/>
    <x v="1"/>
    <s v="Clerical"/>
    <s v="Yes"/>
    <n v="1"/>
    <s v="2-5 Miles"/>
    <s v="Europe"/>
    <n v="32"/>
    <s v="No"/>
    <m/>
    <n v="2500"/>
  </r>
  <r>
    <n v="12472"/>
    <s v="M"/>
    <s v="M"/>
    <n v="30000"/>
    <n v="1"/>
    <x v="0"/>
    <s v="Clerical"/>
    <s v="Yes"/>
    <n v="1"/>
    <s v="2-5 Miles"/>
    <s v="Europe"/>
    <n v="39"/>
    <s v="No"/>
    <m/>
    <n v="2500"/>
  </r>
  <r>
    <n v="20970"/>
    <s v="S"/>
    <s v="M"/>
    <n v="10000"/>
    <n v="2"/>
    <x v="1"/>
    <s v="Manual"/>
    <s v="Yes"/>
    <n v="1"/>
    <s v="0-1 Miles"/>
    <s v="Europe"/>
    <n v="52"/>
    <s v="Yes"/>
    <m/>
    <n v="833.33333333333337"/>
  </r>
  <r>
    <n v="26818"/>
    <s v="S"/>
    <s v="M"/>
    <n v="10000"/>
    <n v="3"/>
    <x v="2"/>
    <s v="Manual"/>
    <s v="Yes"/>
    <n v="1"/>
    <s v="0-1 Miles"/>
    <s v="Europe"/>
    <n v="39"/>
    <s v="Yes"/>
    <m/>
    <n v="833.33333333333337"/>
  </r>
  <r>
    <n v="12993"/>
    <s v="M"/>
    <s v="M"/>
    <n v="60000"/>
    <n v="2"/>
    <x v="0"/>
    <s v="Professional"/>
    <s v="Yes"/>
    <n v="1"/>
    <s v="2-5 Miles"/>
    <s v="Pacific"/>
    <n v="37"/>
    <s v="No"/>
    <m/>
    <n v="5000"/>
  </r>
  <r>
    <n v="14192"/>
    <s v="M"/>
    <s v="M"/>
    <n v="90000"/>
    <n v="4"/>
    <x v="2"/>
    <s v="Management"/>
    <s v="Yes"/>
    <n v="3"/>
    <s v="5-10 Miles"/>
    <s v="Europe"/>
    <n v="56"/>
    <s v="Yes"/>
    <m/>
    <n v="7500"/>
  </r>
  <r>
    <n v="19477"/>
    <s v="M"/>
    <s v="M"/>
    <n v="40000"/>
    <n v="0"/>
    <x v="0"/>
    <s v="Professional"/>
    <s v="Yes"/>
    <n v="0"/>
    <s v="0-1 Miles"/>
    <s v="Europe"/>
    <n v="40"/>
    <s v="Yes"/>
    <m/>
    <n v="3333.3333333333335"/>
  </r>
  <r>
    <n v="26796"/>
    <s v="S"/>
    <s v="M"/>
    <n v="40000"/>
    <n v="2"/>
    <x v="0"/>
    <s v="Management"/>
    <s v="Yes"/>
    <n v="2"/>
    <s v="5-10 Miles"/>
    <s v="Pacific"/>
    <n v="65"/>
    <s v="Yes"/>
    <m/>
    <n v="3333.3333333333335"/>
  </r>
  <r>
    <n v="21094"/>
    <s v="S"/>
    <s v="F"/>
    <n v="30000"/>
    <n v="2"/>
    <x v="1"/>
    <s v="Clerical"/>
    <s v="Yes"/>
    <n v="2"/>
    <s v="0-1 Miles"/>
    <s v="Europe"/>
    <n v="42"/>
    <s v="No"/>
    <m/>
    <n v="2500"/>
  </r>
  <r>
    <n v="12234"/>
    <s v="M"/>
    <s v="M"/>
    <n v="10000"/>
    <n v="2"/>
    <x v="1"/>
    <s v="Manual"/>
    <s v="Yes"/>
    <n v="1"/>
    <s v="2-5 Miles"/>
    <s v="Europe"/>
    <n v="52"/>
    <s v="No"/>
    <m/>
    <n v="833.33333333333337"/>
  </r>
  <r>
    <n v="28683"/>
    <s v="S"/>
    <s v="F"/>
    <n v="10000"/>
    <n v="1"/>
    <x v="2"/>
    <s v="Manual"/>
    <s v="No"/>
    <n v="1"/>
    <s v="5-10 Miles"/>
    <s v="Europe"/>
    <n v="35"/>
    <s v="Yes"/>
    <m/>
    <n v="833.33333333333337"/>
  </r>
  <r>
    <n v="17994"/>
    <s v="S"/>
    <s v="M"/>
    <n v="20000"/>
    <n v="2"/>
    <x v="2"/>
    <s v="Manual"/>
    <s v="Yes"/>
    <n v="2"/>
    <s v="0-1 Miles"/>
    <s v="Europe"/>
    <n v="42"/>
    <s v="No"/>
    <m/>
    <n v="1666.6666666666667"/>
  </r>
  <r>
    <n v="24273"/>
    <s v="M"/>
    <s v="F"/>
    <n v="20000"/>
    <n v="2"/>
    <x v="3"/>
    <s v="Clerical"/>
    <s v="Yes"/>
    <n v="2"/>
    <s v="5-10 Miles"/>
    <s v="Pacific"/>
    <n v="55"/>
    <s v="Yes"/>
    <m/>
    <n v="1666.6666666666667"/>
  </r>
  <r>
    <n v="26547"/>
    <s v="S"/>
    <s v="F"/>
    <n v="30000"/>
    <n v="2"/>
    <x v="1"/>
    <s v="Clerical"/>
    <s v="No"/>
    <n v="2"/>
    <s v="5-10 Miles"/>
    <s v="Pacific"/>
    <n v="60"/>
    <s v="Yes"/>
    <m/>
    <n v="2500"/>
  </r>
  <r>
    <n v="22500"/>
    <s v="S"/>
    <s v="M"/>
    <n v="40000"/>
    <n v="0"/>
    <x v="0"/>
    <s v="Professional"/>
    <s v="No"/>
    <n v="0"/>
    <s v="0-1 Miles"/>
    <s v="Europe"/>
    <n v="40"/>
    <s v="Yes"/>
    <m/>
    <n v="3333.3333333333335"/>
  </r>
  <r>
    <n v="23993"/>
    <s v="S"/>
    <s v="F"/>
    <n v="10000"/>
    <n v="0"/>
    <x v="1"/>
    <s v="Manual"/>
    <s v="No"/>
    <n v="1"/>
    <s v="0-1 Miles"/>
    <s v="Pacific"/>
    <n v="26"/>
    <s v="Yes"/>
    <m/>
    <n v="833.33333333333337"/>
  </r>
  <r>
    <n v="14832"/>
    <s v="M"/>
    <s v="M"/>
    <n v="40000"/>
    <n v="1"/>
    <x v="0"/>
    <s v="Skilled Manual"/>
    <s v="Yes"/>
    <n v="0"/>
    <s v="0-1 Miles"/>
    <s v="Europe"/>
    <n v="42"/>
    <s v="Yes"/>
    <m/>
    <n v="3333.3333333333335"/>
  </r>
  <r>
    <n v="16614"/>
    <s v="M"/>
    <s v="F"/>
    <n v="80000"/>
    <n v="0"/>
    <x v="0"/>
    <s v="Professional"/>
    <s v="Yes"/>
    <n v="3"/>
    <s v="10+ Miles"/>
    <s v="Pacific"/>
    <n v="32"/>
    <s v="No"/>
    <m/>
    <n v="6666.666666666667"/>
  </r>
  <r>
    <n v="20877"/>
    <s v="S"/>
    <s v="M"/>
    <n v="30000"/>
    <n v="1"/>
    <x v="0"/>
    <s v="Clerical"/>
    <s v="Yes"/>
    <n v="0"/>
    <s v="1-2 Miles"/>
    <s v="Europe"/>
    <n v="37"/>
    <s v="Yes"/>
    <m/>
    <n v="2500"/>
  </r>
  <r>
    <n v="20729"/>
    <s v="M"/>
    <s v="F"/>
    <n v="40000"/>
    <n v="2"/>
    <x v="1"/>
    <s v="Clerical"/>
    <s v="No"/>
    <n v="1"/>
    <s v="0-1 Miles"/>
    <s v="Europe"/>
    <n v="34"/>
    <s v="No"/>
    <m/>
    <n v="3333.3333333333335"/>
  </r>
  <r>
    <n v="22464"/>
    <s v="M"/>
    <s v="M"/>
    <n v="40000"/>
    <n v="0"/>
    <x v="4"/>
    <s v="Clerical"/>
    <s v="Yes"/>
    <n v="0"/>
    <s v="0-1 Miles"/>
    <s v="Europe"/>
    <n v="37"/>
    <s v="Yes"/>
    <m/>
    <n v="3333.3333333333335"/>
  </r>
  <r>
    <n v="19475"/>
    <s v="M"/>
    <s v="F"/>
    <n v="40000"/>
    <n v="0"/>
    <x v="0"/>
    <s v="Professional"/>
    <s v="No"/>
    <n v="0"/>
    <s v="0-1 Miles"/>
    <s v="Europe"/>
    <n v="40"/>
    <s v="Yes"/>
    <m/>
    <n v="3333.3333333333335"/>
  </r>
  <r>
    <n v="19675"/>
    <s v="M"/>
    <s v="M"/>
    <n v="20000"/>
    <n v="4"/>
    <x v="2"/>
    <s v="Skilled Manual"/>
    <s v="Yes"/>
    <n v="2"/>
    <s v="5-10 Miles"/>
    <s v="Pacific"/>
    <n v="60"/>
    <s v="No"/>
    <m/>
    <n v="1666.6666666666667"/>
  </r>
  <r>
    <n v="12728"/>
    <s v="S"/>
    <s v="M"/>
    <n v="30000"/>
    <n v="0"/>
    <x v="1"/>
    <s v="Clerical"/>
    <s v="No"/>
    <n v="1"/>
    <s v="1-2 Miles"/>
    <s v="Europe"/>
    <n v="27"/>
    <s v="No"/>
    <m/>
    <n v="2500"/>
  </r>
  <r>
    <n v="26154"/>
    <s v="M"/>
    <s v="M"/>
    <n v="60000"/>
    <n v="1"/>
    <x v="1"/>
    <s v="Skilled Manual"/>
    <s v="Yes"/>
    <n v="1"/>
    <s v="5-10 Miles"/>
    <s v="Pacific"/>
    <n v="43"/>
    <s v="Yes"/>
    <m/>
    <n v="5000"/>
  </r>
  <r>
    <n v="29117"/>
    <s v="S"/>
    <s v="M"/>
    <n v="100000"/>
    <n v="1"/>
    <x v="0"/>
    <s v="Management"/>
    <s v="No"/>
    <n v="3"/>
    <s v="0-1 Miles"/>
    <s v="Pacific"/>
    <n v="48"/>
    <s v="No"/>
    <m/>
    <n v="8333.3333333333339"/>
  </r>
  <r>
    <n v="17845"/>
    <s v="S"/>
    <s v="F"/>
    <n v="20000"/>
    <n v="0"/>
    <x v="3"/>
    <s v="Manual"/>
    <s v="No"/>
    <n v="2"/>
    <s v="1-2 Miles"/>
    <s v="Europe"/>
    <n v="32"/>
    <s v="No"/>
    <m/>
    <n v="1666.6666666666667"/>
  </r>
  <r>
    <n v="25058"/>
    <s v="M"/>
    <s v="M"/>
    <n v="100000"/>
    <n v="1"/>
    <x v="0"/>
    <s v="Management"/>
    <s v="Yes"/>
    <n v="3"/>
    <s v="2-5 Miles"/>
    <s v="Pacific"/>
    <n v="47"/>
    <s v="No"/>
    <m/>
    <n v="8333.3333333333339"/>
  </r>
  <r>
    <n v="23426"/>
    <s v="S"/>
    <s v="M"/>
    <n v="80000"/>
    <n v="5"/>
    <x v="4"/>
    <s v="Management"/>
    <s v="Yes"/>
    <n v="3"/>
    <s v="0-1 Miles"/>
    <s v="Pacific"/>
    <n v="40"/>
    <s v="No"/>
    <m/>
    <n v="6666.666666666667"/>
  </r>
  <r>
    <n v="14798"/>
    <s v="S"/>
    <s v="F"/>
    <n v="10000"/>
    <n v="4"/>
    <x v="3"/>
    <s v="Manual"/>
    <s v="Yes"/>
    <n v="2"/>
    <s v="0-1 Miles"/>
    <s v="Europe"/>
    <n v="41"/>
    <s v="Yes"/>
    <m/>
    <n v="833.33333333333337"/>
  </r>
  <r>
    <n v="12664"/>
    <s v="M"/>
    <s v="F"/>
    <n v="130000"/>
    <n v="5"/>
    <x v="1"/>
    <s v="Professional"/>
    <s v="Yes"/>
    <n v="4"/>
    <s v="0-1 Miles"/>
    <s v="Europe"/>
    <n v="59"/>
    <s v="No"/>
    <m/>
    <n v="10833.333333333334"/>
  </r>
  <r>
    <n v="23979"/>
    <s v="S"/>
    <s v="M"/>
    <n v="10000"/>
    <n v="2"/>
    <x v="1"/>
    <s v="Manual"/>
    <s v="No"/>
    <n v="0"/>
    <s v="0-1 Miles"/>
    <s v="Europe"/>
    <n v="50"/>
    <s v="No"/>
    <m/>
    <n v="833.33333333333337"/>
  </r>
  <r>
    <n v="25605"/>
    <s v="S"/>
    <s v="F"/>
    <n v="20000"/>
    <n v="2"/>
    <x v="1"/>
    <s v="Manual"/>
    <s v="No"/>
    <n v="1"/>
    <s v="0-1 Miles"/>
    <s v="Europe"/>
    <n v="54"/>
    <s v="Yes"/>
    <m/>
    <n v="1666.6666666666667"/>
  </r>
  <r>
    <n v="20797"/>
    <s v="M"/>
    <s v="F"/>
    <n v="10000"/>
    <n v="1"/>
    <x v="0"/>
    <s v="Manual"/>
    <s v="Yes"/>
    <n v="0"/>
    <s v="0-1 Miles"/>
    <s v="Europe"/>
    <n v="48"/>
    <s v="No"/>
    <m/>
    <n v="833.33333333333337"/>
  </r>
  <r>
    <n v="21980"/>
    <s v="S"/>
    <s v="F"/>
    <n v="60000"/>
    <n v="1"/>
    <x v="0"/>
    <s v="Professional"/>
    <s v="Yes"/>
    <n v="1"/>
    <s v="5-10 Miles"/>
    <s v="Pacific"/>
    <n v="44"/>
    <s v="Yes"/>
    <m/>
    <n v="5000"/>
  </r>
  <r>
    <n v="25460"/>
    <s v="M"/>
    <s v="F"/>
    <n v="20000"/>
    <n v="2"/>
    <x v="2"/>
    <s v="Manual"/>
    <s v="Yes"/>
    <n v="0"/>
    <s v="0-1 Miles"/>
    <s v="Europe"/>
    <n v="40"/>
    <s v="Yes"/>
    <m/>
    <n v="1666.6666666666667"/>
  </r>
  <r>
    <n v="29181"/>
    <s v="S"/>
    <s v="F"/>
    <n v="60000"/>
    <n v="2"/>
    <x v="0"/>
    <s v="Professional"/>
    <s v="No"/>
    <n v="1"/>
    <s v="0-1 Miles"/>
    <s v="Pacific"/>
    <n v="38"/>
    <s v="Yes"/>
    <m/>
    <n v="5000"/>
  </r>
  <r>
    <n v="24279"/>
    <s v="S"/>
    <s v="M"/>
    <n v="40000"/>
    <n v="2"/>
    <x v="1"/>
    <s v="Skilled Manual"/>
    <s v="No"/>
    <n v="2"/>
    <s v="1-2 Miles"/>
    <s v="Pacific"/>
    <n v="52"/>
    <s v="No"/>
    <m/>
    <n v="3333.3333333333335"/>
  </r>
  <r>
    <n v="22402"/>
    <s v="M"/>
    <s v="M"/>
    <n v="10000"/>
    <n v="0"/>
    <x v="1"/>
    <s v="Manual"/>
    <s v="Yes"/>
    <n v="1"/>
    <s v="2-5 Miles"/>
    <s v="Pacific"/>
    <n v="25"/>
    <s v="Yes"/>
    <m/>
    <n v="833.33333333333337"/>
  </r>
  <r>
    <n v="15465"/>
    <s v="M"/>
    <s v="F"/>
    <n v="10000"/>
    <n v="0"/>
    <x v="1"/>
    <s v="Manual"/>
    <s v="No"/>
    <n v="1"/>
    <s v="0-1 Miles"/>
    <s v="Pacific"/>
    <n v="25"/>
    <s v="No"/>
    <m/>
    <n v="833.33333333333337"/>
  </r>
  <r>
    <n v="26757"/>
    <s v="S"/>
    <s v="M"/>
    <n v="90000"/>
    <n v="1"/>
    <x v="0"/>
    <s v="Professional"/>
    <s v="Yes"/>
    <n v="1"/>
    <s v="2-5 Miles"/>
    <s v="Pacific"/>
    <n v="47"/>
    <s v="Yes"/>
    <m/>
    <n v="7500"/>
  </r>
  <r>
    <n v="14233"/>
    <s v="S"/>
    <s v="M"/>
    <n v="100000"/>
    <n v="0"/>
    <x v="2"/>
    <s v="Management"/>
    <s v="Yes"/>
    <n v="3"/>
    <s v="10+ Miles"/>
    <s v="Pacific"/>
    <n v="35"/>
    <s v="No"/>
    <m/>
    <n v="8333.3333333333339"/>
  </r>
  <r>
    <n v="14058"/>
    <s v="S"/>
    <s v="M"/>
    <n v="70000"/>
    <n v="0"/>
    <x v="0"/>
    <s v="Professional"/>
    <s v="No"/>
    <n v="1"/>
    <s v="5-10 Miles"/>
    <s v="Pacific"/>
    <n v="41"/>
    <s v="Yes"/>
    <m/>
    <n v="5833.333333333333"/>
  </r>
  <r>
    <n v="12273"/>
    <s v="M"/>
    <s v="M"/>
    <n v="30000"/>
    <n v="1"/>
    <x v="0"/>
    <s v="Clerical"/>
    <s v="Yes"/>
    <n v="0"/>
    <s v="0-1 Miles"/>
    <s v="Europe"/>
    <n v="47"/>
    <s v="No"/>
    <m/>
    <n v="2500"/>
  </r>
  <r>
    <n v="17203"/>
    <s v="M"/>
    <s v="F"/>
    <n v="130000"/>
    <n v="4"/>
    <x v="1"/>
    <s v="Professional"/>
    <s v="Yes"/>
    <n v="4"/>
    <s v="5-10 Miles"/>
    <s v="Europe"/>
    <n v="61"/>
    <s v="Yes"/>
    <m/>
    <n v="10833.333333333334"/>
  </r>
  <r>
    <n v="18144"/>
    <s v="M"/>
    <s v="F"/>
    <n v="80000"/>
    <n v="5"/>
    <x v="0"/>
    <s v="Management"/>
    <s v="Yes"/>
    <n v="2"/>
    <s v="2-5 Miles"/>
    <s v="Europe"/>
    <n v="61"/>
    <s v="No"/>
    <m/>
    <n v="6666.666666666667"/>
  </r>
  <r>
    <n v="23963"/>
    <s v="M"/>
    <s v="M"/>
    <n v="10000"/>
    <n v="0"/>
    <x v="3"/>
    <s v="Manual"/>
    <s v="No"/>
    <n v="2"/>
    <s v="0-1 Miles"/>
    <s v="Europe"/>
    <n v="33"/>
    <s v="No"/>
    <m/>
    <n v="833.33333333333337"/>
  </r>
  <r>
    <n v="17907"/>
    <s v="M"/>
    <s v="F"/>
    <n v="10000"/>
    <n v="0"/>
    <x v="1"/>
    <s v="Manual"/>
    <s v="Yes"/>
    <n v="1"/>
    <s v="2-5 Miles"/>
    <s v="Pacific"/>
    <n v="27"/>
    <s v="No"/>
    <m/>
    <n v="833.33333333333337"/>
  </r>
  <r>
    <n v="19442"/>
    <s v="S"/>
    <s v="M"/>
    <n v="50000"/>
    <n v="0"/>
    <x v="4"/>
    <s v="Skilled Manual"/>
    <s v="Yes"/>
    <n v="0"/>
    <s v="0-1 Miles"/>
    <s v="Europe"/>
    <n v="37"/>
    <s v="Yes"/>
    <m/>
    <n v="4166.666666666667"/>
  </r>
  <r>
    <n v="17504"/>
    <s v="S"/>
    <s v="F"/>
    <n v="80000"/>
    <n v="2"/>
    <x v="1"/>
    <s v="Skilled Manual"/>
    <s v="Yes"/>
    <n v="2"/>
    <s v="5-10 Miles"/>
    <s v="Pacific"/>
    <n v="52"/>
    <s v="Yes"/>
    <m/>
    <n v="6666.666666666667"/>
  </r>
  <r>
    <n v="12253"/>
    <s v="S"/>
    <s v="F"/>
    <n v="20000"/>
    <n v="0"/>
    <x v="1"/>
    <s v="Manual"/>
    <s v="Yes"/>
    <n v="0"/>
    <s v="0-1 Miles"/>
    <s v="Pacific"/>
    <n v="29"/>
    <s v="Yes"/>
    <m/>
    <n v="1666.6666666666667"/>
  </r>
  <r>
    <n v="27304"/>
    <s v="S"/>
    <s v="F"/>
    <n v="110000"/>
    <n v="2"/>
    <x v="1"/>
    <s v="Professional"/>
    <s v="No"/>
    <n v="3"/>
    <s v="5-10 Miles"/>
    <s v="Europe"/>
    <n v="48"/>
    <s v="No"/>
    <m/>
    <n v="9166.6666666666661"/>
  </r>
  <r>
    <n v="14191"/>
    <s v="M"/>
    <s v="M"/>
    <n v="160000"/>
    <n v="4"/>
    <x v="1"/>
    <s v="Professional"/>
    <s v="No"/>
    <n v="2"/>
    <s v="10+ Miles"/>
    <s v="Europe"/>
    <n v="55"/>
    <s v="Yes"/>
    <m/>
    <n v="13333.333333333334"/>
  </r>
  <r>
    <n v="12212"/>
    <s v="M"/>
    <s v="F"/>
    <n v="10000"/>
    <n v="0"/>
    <x v="4"/>
    <s v="Manual"/>
    <s v="Yes"/>
    <n v="0"/>
    <s v="0-1 Miles"/>
    <s v="Europe"/>
    <n v="37"/>
    <s v="Yes"/>
    <m/>
    <n v="833.33333333333337"/>
  </r>
  <r>
    <n v="25529"/>
    <s v="S"/>
    <s v="M"/>
    <n v="10000"/>
    <n v="1"/>
    <x v="4"/>
    <s v="Manual"/>
    <s v="Yes"/>
    <n v="0"/>
    <s v="0-1 Miles"/>
    <s v="Europe"/>
    <n v="44"/>
    <s v="No"/>
    <m/>
    <n v="833.33333333333337"/>
  </r>
  <r>
    <n v="22170"/>
    <s v="M"/>
    <s v="F"/>
    <n v="30000"/>
    <n v="3"/>
    <x v="1"/>
    <s v="Clerical"/>
    <s v="No"/>
    <n v="2"/>
    <s v="1-2 Miles"/>
    <s v="Pacific"/>
    <n v="55"/>
    <s v="Yes"/>
    <m/>
    <n v="2500"/>
  </r>
  <r>
    <n v="19445"/>
    <s v="M"/>
    <s v="F"/>
    <n v="10000"/>
    <n v="2"/>
    <x v="2"/>
    <s v="Manual"/>
    <s v="No"/>
    <n v="1"/>
    <s v="0-1 Miles"/>
    <s v="Europe"/>
    <n v="38"/>
    <s v="No"/>
    <m/>
    <n v="833.33333333333337"/>
  </r>
  <r>
    <n v="15265"/>
    <s v="S"/>
    <s v="M"/>
    <n v="40000"/>
    <n v="2"/>
    <x v="0"/>
    <s v="Management"/>
    <s v="Yes"/>
    <n v="2"/>
    <s v="5-10 Miles"/>
    <s v="Pacific"/>
    <n v="66"/>
    <s v="Yes"/>
    <m/>
    <n v="3333.3333333333335"/>
  </r>
  <r>
    <n v="28918"/>
    <s v="M"/>
    <s v="F"/>
    <n v="130000"/>
    <n v="4"/>
    <x v="2"/>
    <s v="Management"/>
    <s v="No"/>
    <n v="4"/>
    <s v="10+ Miles"/>
    <s v="Europe"/>
    <n v="58"/>
    <s v="No"/>
    <m/>
    <n v="10833.333333333334"/>
  </r>
  <r>
    <n v="15799"/>
    <s v="M"/>
    <s v="F"/>
    <n v="90000"/>
    <n v="1"/>
    <x v="0"/>
    <s v="Professional"/>
    <s v="Yes"/>
    <n v="1"/>
    <s v="2-5 Miles"/>
    <s v="Pacific"/>
    <n v="47"/>
    <s v="Yes"/>
    <m/>
    <n v="7500"/>
  </r>
  <r>
    <n v="11047"/>
    <s v="M"/>
    <s v="F"/>
    <n v="30000"/>
    <n v="3"/>
    <x v="2"/>
    <s v="Skilled Manual"/>
    <s v="No"/>
    <n v="2"/>
    <s v="1-2 Miles"/>
    <s v="Pacific"/>
    <n v="56"/>
    <s v="Yes"/>
    <m/>
    <n v="2500"/>
  </r>
  <r>
    <n v="18151"/>
    <s v="S"/>
    <s v="M"/>
    <n v="80000"/>
    <n v="5"/>
    <x v="1"/>
    <s v="Professional"/>
    <s v="No"/>
    <n v="2"/>
    <s v="10+ Miles"/>
    <s v="Europe"/>
    <n v="59"/>
    <s v="No"/>
    <m/>
    <n v="6666.666666666667"/>
  </r>
  <r>
    <n v="20606"/>
    <s v="M"/>
    <s v="F"/>
    <n v="70000"/>
    <n v="0"/>
    <x v="0"/>
    <s v="Professional"/>
    <s v="Yes"/>
    <n v="4"/>
    <s v="10+ Miles"/>
    <s v="Pacific"/>
    <n v="32"/>
    <s v="Yes"/>
    <m/>
    <n v="5833.333333333333"/>
  </r>
  <r>
    <n v="19482"/>
    <s v="M"/>
    <s v="M"/>
    <n v="30000"/>
    <n v="1"/>
    <x v="1"/>
    <s v="Clerical"/>
    <s v="Yes"/>
    <n v="1"/>
    <s v="0-1 Miles"/>
    <s v="Europe"/>
    <n v="44"/>
    <s v="Yes"/>
    <m/>
    <n v="2500"/>
  </r>
  <r>
    <n v="16489"/>
    <s v="M"/>
    <s v="M"/>
    <n v="30000"/>
    <n v="3"/>
    <x v="2"/>
    <s v="Skilled Manual"/>
    <s v="Yes"/>
    <n v="2"/>
    <s v="5-10 Miles"/>
    <s v="Pacific"/>
    <n v="55"/>
    <s v="No"/>
    <m/>
    <n v="2500"/>
  </r>
  <r>
    <n v="26944"/>
    <s v="S"/>
    <s v="M"/>
    <n v="90000"/>
    <n v="2"/>
    <x v="2"/>
    <s v="Manual"/>
    <s v="Yes"/>
    <n v="0"/>
    <s v="0-1 Miles"/>
    <s v="Europe"/>
    <n v="36"/>
    <s v="Yes"/>
    <m/>
    <n v="7500"/>
  </r>
  <r>
    <n v="15682"/>
    <s v="S"/>
    <s v="F"/>
    <n v="80000"/>
    <n v="5"/>
    <x v="0"/>
    <s v="Management"/>
    <s v="Yes"/>
    <n v="2"/>
    <s v="10+ Miles"/>
    <s v="Europe"/>
    <n v="62"/>
    <s v="No"/>
    <m/>
    <n v="6666.666666666667"/>
  </r>
  <r>
    <n v="26032"/>
    <s v="M"/>
    <s v="F"/>
    <n v="70000"/>
    <n v="5"/>
    <x v="0"/>
    <s v="Professional"/>
    <s v="Yes"/>
    <n v="4"/>
    <s v="10+ Miles"/>
    <s v="Pacific"/>
    <n v="41"/>
    <s v="No"/>
    <m/>
    <n v="5833.333333333333"/>
  </r>
  <r>
    <n v="17843"/>
    <s v="S"/>
    <s v="F"/>
    <n v="10000"/>
    <n v="0"/>
    <x v="3"/>
    <s v="Manual"/>
    <s v="No"/>
    <n v="2"/>
    <s v="0-1 Miles"/>
    <s v="Europe"/>
    <n v="32"/>
    <s v="No"/>
    <m/>
    <n v="833.33333333333337"/>
  </r>
  <r>
    <n v="25559"/>
    <s v="S"/>
    <s v="M"/>
    <n v="20000"/>
    <n v="0"/>
    <x v="0"/>
    <s v="Clerical"/>
    <s v="Yes"/>
    <n v="0"/>
    <s v="0-1 Miles"/>
    <s v="Pacific"/>
    <n v="25"/>
    <s v="Yes"/>
    <m/>
    <n v="1666.6666666666667"/>
  </r>
  <r>
    <n v="16209"/>
    <s v="S"/>
    <s v="F"/>
    <n v="50000"/>
    <n v="0"/>
    <x v="4"/>
    <s v="Skilled Manual"/>
    <s v="Yes"/>
    <n v="0"/>
    <s v="1-2 Miles"/>
    <s v="Europe"/>
    <n v="36"/>
    <s v="No"/>
    <m/>
    <n v="4166.666666666667"/>
  </r>
  <r>
    <n v="11147"/>
    <s v="M"/>
    <s v="M"/>
    <n v="60000"/>
    <n v="2"/>
    <x v="4"/>
    <s v="Management"/>
    <s v="Yes"/>
    <n v="1"/>
    <s v="0-1 Miles"/>
    <s v="Pacific"/>
    <n v="67"/>
    <s v="Yes"/>
    <m/>
    <n v="5000"/>
  </r>
  <r>
    <n v="15214"/>
    <s v="S"/>
    <s v="F"/>
    <n v="100000"/>
    <n v="0"/>
    <x v="4"/>
    <s v="Management"/>
    <s v="No"/>
    <n v="1"/>
    <s v="1-2 Miles"/>
    <s v="Pacific"/>
    <n v="39"/>
    <s v="Yes"/>
    <m/>
    <n v="8333.333333333333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12496"/>
    <s v="M"/>
    <s v="F"/>
    <n v="40000"/>
    <n v="1"/>
    <s v="Bachelors"/>
    <s v="Skilled Manual"/>
    <s v="Yes"/>
    <n v="0"/>
    <s v="0-1 Miles"/>
    <x v="0"/>
    <n v="42"/>
    <x v="0"/>
    <m/>
    <n v="3333.3333333333335"/>
    <s v="No"/>
    <s v=""/>
  </r>
  <r>
    <n v="24107"/>
    <s v="M"/>
    <s v="M"/>
    <n v="30000"/>
    <n v="3"/>
    <s v="Partial College"/>
    <s v="Clerical"/>
    <s v="Yes"/>
    <n v="1"/>
    <s v="0-1 Miles"/>
    <x v="0"/>
    <n v="43"/>
    <x v="0"/>
    <m/>
    <n v="2500"/>
    <s v="No"/>
    <s v=""/>
  </r>
  <r>
    <n v="14177"/>
    <s v="M"/>
    <s v="M"/>
    <n v="80000"/>
    <n v="5"/>
    <s v="Partial College"/>
    <s v="Professional"/>
    <s v="No"/>
    <n v="2"/>
    <s v="2-5 Miles"/>
    <x v="0"/>
    <n v="60"/>
    <x v="0"/>
    <m/>
    <n v="6666.666666666667"/>
    <s v="Yes"/>
    <s v=""/>
  </r>
  <r>
    <n v="24381"/>
    <s v="S"/>
    <s v="M"/>
    <n v="70000"/>
    <n v="0"/>
    <s v="Bachelors"/>
    <s v="Professional"/>
    <s v="Yes"/>
    <n v="1"/>
    <s v="5-10 Miles"/>
    <x v="1"/>
    <n v="41"/>
    <x v="1"/>
    <m/>
    <n v="5833.333333333333"/>
    <s v="Yes"/>
    <s v=""/>
  </r>
  <r>
    <n v="25597"/>
    <s v="S"/>
    <s v="M"/>
    <n v="30000"/>
    <n v="0"/>
    <s v="Bachelors"/>
    <s v="Clerical"/>
    <s v="No"/>
    <n v="0"/>
    <s v="0-1 Miles"/>
    <x v="0"/>
    <n v="36"/>
    <x v="1"/>
    <m/>
    <n v="2500"/>
    <s v="No"/>
    <s v=""/>
  </r>
  <r>
    <n v="13507"/>
    <s v="M"/>
    <s v="F"/>
    <n v="10000"/>
    <n v="2"/>
    <s v="Partial College"/>
    <s v="Manual"/>
    <s v="Yes"/>
    <n v="0"/>
    <s v="1-2 Miles"/>
    <x v="0"/>
    <n v="50"/>
    <x v="0"/>
    <m/>
    <n v="833.33333333333337"/>
    <s v="No"/>
    <s v=""/>
  </r>
  <r>
    <n v="27974"/>
    <s v="S"/>
    <s v="M"/>
    <n v="160000"/>
    <n v="2"/>
    <s v="High School"/>
    <s v="Management"/>
    <s v="Yes"/>
    <n v="4"/>
    <s v="0-1 Miles"/>
    <x v="1"/>
    <n v="33"/>
    <x v="1"/>
    <m/>
    <n v="13333.333333333334"/>
    <s v="Yes"/>
    <s v=""/>
  </r>
  <r>
    <n v="19364"/>
    <s v="M"/>
    <s v="M"/>
    <n v="40000"/>
    <n v="1"/>
    <s v="Bachelors"/>
    <s v="Skilled Manual"/>
    <s v="Yes"/>
    <n v="0"/>
    <s v="0-1 Miles"/>
    <x v="0"/>
    <n v="43"/>
    <x v="1"/>
    <m/>
    <n v="3333.3333333333335"/>
    <s v="No"/>
    <s v=""/>
  </r>
  <r>
    <n v="22155"/>
    <s v="M"/>
    <s v="M"/>
    <n v="20000"/>
    <n v="2"/>
    <s v="Partial High School"/>
    <s v="Clerical"/>
    <s v="Yes"/>
    <n v="2"/>
    <s v="5-10 Miles"/>
    <x v="1"/>
    <n v="58"/>
    <x v="0"/>
    <m/>
    <n v="1666.6666666666667"/>
    <s v="No"/>
    <s v=""/>
  </r>
  <r>
    <n v="19280"/>
    <s v="M"/>
    <s v="M"/>
    <n v="120000"/>
    <n v="2"/>
    <s v="Partial College"/>
    <s v="Manual"/>
    <s v="Yes"/>
    <n v="1"/>
    <s v="0-1 Miles"/>
    <x v="0"/>
    <n v="40"/>
    <x v="1"/>
    <m/>
    <n v="10000"/>
    <s v="Yes"/>
    <s v=""/>
  </r>
  <r>
    <n v="22173"/>
    <s v="M"/>
    <s v="F"/>
    <n v="30000"/>
    <n v="3"/>
    <s v="High School"/>
    <s v="Skilled Manual"/>
    <s v="No"/>
    <n v="2"/>
    <s v="1-2 Miles"/>
    <x v="1"/>
    <n v="54"/>
    <x v="1"/>
    <m/>
    <n v="2500"/>
    <s v="No"/>
    <s v=""/>
  </r>
  <r>
    <n v="12697"/>
    <s v="S"/>
    <s v="F"/>
    <n v="90000"/>
    <n v="0"/>
    <s v="Bachelors"/>
    <s v="Professional"/>
    <s v="No"/>
    <n v="4"/>
    <s v="10+ Miles"/>
    <x v="1"/>
    <n v="36"/>
    <x v="0"/>
    <m/>
    <n v="7500"/>
    <s v="Yes"/>
    <s v=""/>
  </r>
  <r>
    <n v="11434"/>
    <s v="M"/>
    <s v="M"/>
    <n v="170000"/>
    <n v="5"/>
    <s v="Partial College"/>
    <s v="Professional"/>
    <s v="Yes"/>
    <n v="0"/>
    <s v="0-1 Miles"/>
    <x v="0"/>
    <n v="55"/>
    <x v="0"/>
    <m/>
    <n v="14166.666666666666"/>
    <s v="Yes"/>
    <s v="Yes"/>
  </r>
  <r>
    <n v="25323"/>
    <s v="M"/>
    <s v="M"/>
    <n v="40000"/>
    <n v="2"/>
    <s v="Partial College"/>
    <s v="Clerical"/>
    <s v="Yes"/>
    <n v="1"/>
    <s v="1-2 Miles"/>
    <x v="0"/>
    <n v="35"/>
    <x v="1"/>
    <m/>
    <n v="3333.3333333333335"/>
    <s v="No"/>
    <s v=""/>
  </r>
  <r>
    <n v="23542"/>
    <s v="S"/>
    <s v="M"/>
    <n v="60000"/>
    <n v="1"/>
    <s v="Partial College"/>
    <s v="Skilled Manual"/>
    <s v="No"/>
    <n v="1"/>
    <s v="0-1 Miles"/>
    <x v="1"/>
    <n v="45"/>
    <x v="1"/>
    <m/>
    <n v="5000"/>
    <s v="No"/>
    <s v=""/>
  </r>
  <r>
    <n v="20870"/>
    <s v="S"/>
    <s v="F"/>
    <n v="10000"/>
    <n v="2"/>
    <s v="High School"/>
    <s v="Manual"/>
    <s v="Yes"/>
    <n v="1"/>
    <s v="0-1 Miles"/>
    <x v="0"/>
    <n v="38"/>
    <x v="1"/>
    <m/>
    <n v="833.33333333333337"/>
    <s v="No"/>
    <s v=""/>
  </r>
  <r>
    <n v="23316"/>
    <s v="S"/>
    <s v="M"/>
    <n v="30000"/>
    <n v="3"/>
    <s v="Partial College"/>
    <s v="Clerical"/>
    <s v="No"/>
    <n v="2"/>
    <s v="1-2 Miles"/>
    <x v="1"/>
    <n v="59"/>
    <x v="1"/>
    <m/>
    <n v="2500"/>
    <s v="No"/>
    <s v=""/>
  </r>
  <r>
    <n v="12610"/>
    <s v="M"/>
    <s v="F"/>
    <n v="30000"/>
    <n v="1"/>
    <s v="Bachelors"/>
    <s v="Clerical"/>
    <s v="Yes"/>
    <n v="0"/>
    <s v="0-1 Miles"/>
    <x v="0"/>
    <n v="47"/>
    <x v="0"/>
    <m/>
    <n v="2500"/>
    <s v="No"/>
    <s v=""/>
  </r>
  <r>
    <n v="27183"/>
    <s v="S"/>
    <s v="M"/>
    <n v="40000"/>
    <n v="2"/>
    <s v="Partial College"/>
    <s v="Clerical"/>
    <s v="Yes"/>
    <n v="1"/>
    <s v="1-2 Miles"/>
    <x v="0"/>
    <n v="35"/>
    <x v="1"/>
    <m/>
    <n v="3333.3333333333335"/>
    <s v="No"/>
    <s v=""/>
  </r>
  <r>
    <n v="25940"/>
    <s v="S"/>
    <s v="M"/>
    <n v="20000"/>
    <n v="2"/>
    <s v="Partial High School"/>
    <s v="Clerical"/>
    <s v="Yes"/>
    <n v="2"/>
    <s v="5-10 Miles"/>
    <x v="1"/>
    <n v="55"/>
    <x v="1"/>
    <m/>
    <n v="1666.6666666666667"/>
    <s v="No"/>
    <s v=""/>
  </r>
  <r>
    <n v="25598"/>
    <s v="M"/>
    <s v="F"/>
    <n v="40000"/>
    <n v="0"/>
    <s v="Graduate Degree"/>
    <s v="Clerical"/>
    <s v="Yes"/>
    <n v="0"/>
    <s v="0-1 Miles"/>
    <x v="0"/>
    <n v="36"/>
    <x v="1"/>
    <m/>
    <n v="3333.3333333333335"/>
    <s v="No"/>
    <s v=""/>
  </r>
  <r>
    <n v="21564"/>
    <s v="S"/>
    <s v="F"/>
    <n v="80000"/>
    <n v="0"/>
    <s v="Bachelors"/>
    <s v="Professional"/>
    <s v="Yes"/>
    <n v="4"/>
    <s v="10+ Miles"/>
    <x v="1"/>
    <n v="35"/>
    <x v="0"/>
    <m/>
    <n v="6666.666666666667"/>
    <s v="Yes"/>
    <s v=""/>
  </r>
  <r>
    <n v="19193"/>
    <s v="S"/>
    <s v="M"/>
    <n v="40000"/>
    <n v="2"/>
    <s v="Partial College"/>
    <s v="Clerical"/>
    <s v="Yes"/>
    <n v="0"/>
    <s v="1-2 Miles"/>
    <x v="0"/>
    <n v="35"/>
    <x v="1"/>
    <m/>
    <n v="3333.3333333333335"/>
    <s v="No"/>
    <s v="Yes"/>
  </r>
  <r>
    <n v="26412"/>
    <s v="M"/>
    <s v="F"/>
    <n v="80000"/>
    <n v="5"/>
    <s v="High School"/>
    <s v="Management"/>
    <s v="No"/>
    <n v="3"/>
    <s v="5-10 Miles"/>
    <x v="0"/>
    <n v="56"/>
    <x v="0"/>
    <m/>
    <n v="6666.666666666667"/>
    <s v="Yes"/>
    <s v=""/>
  </r>
  <r>
    <n v="27184"/>
    <s v="S"/>
    <s v="M"/>
    <n v="40000"/>
    <n v="2"/>
    <s v="Partial College"/>
    <s v="Clerical"/>
    <s v="No"/>
    <n v="1"/>
    <s v="0-1 Miles"/>
    <x v="0"/>
    <n v="34"/>
    <x v="0"/>
    <m/>
    <n v="3333.3333333333335"/>
    <s v="No"/>
    <s v=""/>
  </r>
  <r>
    <n v="12590"/>
    <s v="S"/>
    <s v="M"/>
    <n v="30000"/>
    <n v="1"/>
    <s v="Bachelors"/>
    <s v="Clerical"/>
    <s v="Yes"/>
    <n v="0"/>
    <s v="0-1 Miles"/>
    <x v="0"/>
    <n v="63"/>
    <x v="0"/>
    <m/>
    <n v="2500"/>
    <s v="No"/>
    <s v=""/>
  </r>
  <r>
    <n v="17841"/>
    <s v="S"/>
    <s v="M"/>
    <n v="30000"/>
    <n v="0"/>
    <s v="Partial College"/>
    <s v="Clerical"/>
    <s v="No"/>
    <n v="1"/>
    <s v="0-1 Miles"/>
    <x v="0"/>
    <n v="29"/>
    <x v="1"/>
    <m/>
    <n v="2500"/>
    <s v="No"/>
    <s v=""/>
  </r>
  <r>
    <n v="18283"/>
    <s v="S"/>
    <s v="F"/>
    <n v="100000"/>
    <n v="0"/>
    <s v="Bachelors"/>
    <s v="Professional"/>
    <s v="No"/>
    <n v="1"/>
    <s v="5-10 Miles"/>
    <x v="1"/>
    <n v="40"/>
    <x v="0"/>
    <m/>
    <n v="8333.3333333333339"/>
    <s v="Yes"/>
    <s v=""/>
  </r>
  <r>
    <n v="18299"/>
    <s v="M"/>
    <s v="M"/>
    <n v="70000"/>
    <n v="5"/>
    <s v="Partial College"/>
    <s v="Skilled Manual"/>
    <s v="Yes"/>
    <n v="2"/>
    <s v="5-10 Miles"/>
    <x v="1"/>
    <n v="44"/>
    <x v="0"/>
    <m/>
    <n v="5833.333333333333"/>
    <s v="Yes"/>
    <s v=""/>
  </r>
  <r>
    <n v="16466"/>
    <s v="S"/>
    <s v="F"/>
    <n v="20000"/>
    <n v="0"/>
    <s v="Partial High School"/>
    <s v="Manual"/>
    <s v="No"/>
    <n v="2"/>
    <s v="0-1 Miles"/>
    <x v="0"/>
    <n v="32"/>
    <x v="1"/>
    <m/>
    <n v="1666.6666666666667"/>
    <s v="No"/>
    <s v=""/>
  </r>
  <r>
    <n v="19273"/>
    <s v="M"/>
    <s v="F"/>
    <n v="20000"/>
    <n v="2"/>
    <s v="Partial College"/>
    <s v="Manual"/>
    <s v="Yes"/>
    <n v="0"/>
    <s v="0-1 Miles"/>
    <x v="0"/>
    <n v="63"/>
    <x v="0"/>
    <m/>
    <n v="1666.6666666666667"/>
    <s v="No"/>
    <s v=""/>
  </r>
  <r>
    <n v="22400"/>
    <s v="M"/>
    <s v="M"/>
    <n v="10000"/>
    <n v="0"/>
    <s v="Partial College"/>
    <s v="Manual"/>
    <s v="No"/>
    <n v="1"/>
    <s v="0-1 Miles"/>
    <x v="1"/>
    <n v="26"/>
    <x v="1"/>
    <m/>
    <n v="833.33333333333337"/>
    <s v="No"/>
    <s v=""/>
  </r>
  <r>
    <n v="20942"/>
    <s v="S"/>
    <s v="F"/>
    <n v="20000"/>
    <n v="0"/>
    <s v="High School"/>
    <s v="Manual"/>
    <s v="No"/>
    <n v="1"/>
    <s v="5-10 Miles"/>
    <x v="0"/>
    <n v="31"/>
    <x v="0"/>
    <m/>
    <n v="1666.6666666666667"/>
    <s v="No"/>
    <s v=""/>
  </r>
  <r>
    <n v="18484"/>
    <s v="S"/>
    <s v="M"/>
    <n v="80000"/>
    <n v="2"/>
    <s v="High School"/>
    <s v="Skilled Manual"/>
    <s v="No"/>
    <n v="2"/>
    <s v="1-2 Miles"/>
    <x v="1"/>
    <n v="50"/>
    <x v="1"/>
    <m/>
    <n v="6666.666666666667"/>
    <s v="Yes"/>
    <s v=""/>
  </r>
  <r>
    <n v="12291"/>
    <s v="S"/>
    <s v="M"/>
    <n v="90000"/>
    <n v="5"/>
    <s v="Partial College"/>
    <s v="Professional"/>
    <s v="No"/>
    <n v="2"/>
    <s v="2-5 Miles"/>
    <x v="0"/>
    <n v="62"/>
    <x v="1"/>
    <m/>
    <n v="7500"/>
    <s v="Yes"/>
    <s v=""/>
  </r>
  <r>
    <n v="28380"/>
    <s v="S"/>
    <s v="F"/>
    <n v="10000"/>
    <n v="5"/>
    <s v="Partial High School"/>
    <s v="Manual"/>
    <s v="No"/>
    <n v="2"/>
    <s v="0-1 Miles"/>
    <x v="0"/>
    <n v="41"/>
    <x v="0"/>
    <m/>
    <n v="833.33333333333337"/>
    <s v="No"/>
    <s v=""/>
  </r>
  <r>
    <n v="17891"/>
    <s v="M"/>
    <s v="F"/>
    <n v="10000"/>
    <n v="2"/>
    <s v="Partial College"/>
    <s v="Manual"/>
    <s v="Yes"/>
    <n v="1"/>
    <s v="0-1 Miles"/>
    <x v="0"/>
    <n v="50"/>
    <x v="1"/>
    <m/>
    <n v="833.33333333333337"/>
    <s v="No"/>
    <s v=""/>
  </r>
  <r>
    <n v="27832"/>
    <s v="S"/>
    <s v="F"/>
    <n v="30000"/>
    <n v="0"/>
    <s v="Partial College"/>
    <s v="Clerical"/>
    <s v="No"/>
    <n v="1"/>
    <s v="2-5 Miles"/>
    <x v="0"/>
    <n v="30"/>
    <x v="0"/>
    <m/>
    <n v="2500"/>
    <s v="No"/>
    <s v=""/>
  </r>
  <r>
    <n v="26863"/>
    <s v="S"/>
    <s v="M"/>
    <n v="20000"/>
    <n v="0"/>
    <s v="High School"/>
    <s v="Manual"/>
    <s v="No"/>
    <n v="1"/>
    <s v="2-5 Miles"/>
    <x v="0"/>
    <n v="28"/>
    <x v="0"/>
    <m/>
    <n v="1666.6666666666667"/>
    <s v="No"/>
    <s v=""/>
  </r>
  <r>
    <n v="16259"/>
    <s v="S"/>
    <s v="F"/>
    <n v="10000"/>
    <n v="4"/>
    <s v="Partial High School"/>
    <s v="Manual"/>
    <s v="Yes"/>
    <n v="2"/>
    <s v="0-1 Miles"/>
    <x v="0"/>
    <n v="40"/>
    <x v="1"/>
    <m/>
    <n v="833.33333333333337"/>
    <s v="No"/>
    <s v=""/>
  </r>
  <r>
    <n v="27803"/>
    <s v="S"/>
    <s v="F"/>
    <n v="30000"/>
    <n v="2"/>
    <s v="Partial College"/>
    <s v="Clerical"/>
    <s v="No"/>
    <n v="0"/>
    <s v="0-1 Miles"/>
    <x v="0"/>
    <n v="43"/>
    <x v="0"/>
    <m/>
    <n v="2500"/>
    <s v="No"/>
    <s v=""/>
  </r>
  <r>
    <n v="14347"/>
    <s v="S"/>
    <s v="F"/>
    <n v="40000"/>
    <n v="2"/>
    <s v="Bachelors"/>
    <s v="Management"/>
    <s v="Yes"/>
    <n v="2"/>
    <s v="5-10 Miles"/>
    <x v="1"/>
    <n v="65"/>
    <x v="1"/>
    <m/>
    <n v="3333.3333333333335"/>
    <s v="No"/>
    <s v=""/>
  </r>
  <r>
    <n v="17703"/>
    <s v="M"/>
    <s v="F"/>
    <n v="10000"/>
    <n v="1"/>
    <s v="Graduate Degree"/>
    <s v="Manual"/>
    <s v="Yes"/>
    <n v="0"/>
    <s v="0-1 Miles"/>
    <x v="0"/>
    <n v="40"/>
    <x v="0"/>
    <m/>
    <n v="833.33333333333337"/>
    <s v="No"/>
    <s v=""/>
  </r>
  <r>
    <n v="17185"/>
    <s v="M"/>
    <s v="F"/>
    <n v="170000"/>
    <n v="4"/>
    <s v="Partial College"/>
    <s v="Professional"/>
    <s v="No"/>
    <n v="3"/>
    <s v="5-10 Miles"/>
    <x v="0"/>
    <n v="48"/>
    <x v="1"/>
    <m/>
    <n v="14166.666666666666"/>
    <s v="Yes"/>
    <s v=""/>
  </r>
  <r>
    <n v="29380"/>
    <s v="M"/>
    <s v="F"/>
    <n v="20000"/>
    <n v="3"/>
    <s v="High School"/>
    <s v="Manual"/>
    <s v="Yes"/>
    <n v="0"/>
    <s v="0-1 Miles"/>
    <x v="0"/>
    <n v="41"/>
    <x v="1"/>
    <m/>
    <n v="1666.6666666666667"/>
    <s v="No"/>
    <s v=""/>
  </r>
  <r>
    <n v="23986"/>
    <s v="M"/>
    <s v="F"/>
    <n v="20000"/>
    <n v="1"/>
    <s v="Bachelors"/>
    <s v="Clerical"/>
    <s v="Yes"/>
    <n v="0"/>
    <s v="0-1 Miles"/>
    <x v="0"/>
    <n v="66"/>
    <x v="1"/>
    <m/>
    <n v="1666.6666666666667"/>
    <s v="No"/>
    <s v=""/>
  </r>
  <r>
    <n v="24466"/>
    <s v="M"/>
    <s v="F"/>
    <n v="60000"/>
    <n v="1"/>
    <s v="Partial College"/>
    <s v="Skilled Manual"/>
    <s v="Yes"/>
    <n v="1"/>
    <s v="5-10 Miles"/>
    <x v="1"/>
    <n v="46"/>
    <x v="1"/>
    <m/>
    <n v="5000"/>
    <s v="No"/>
    <s v=""/>
  </r>
  <r>
    <n v="29097"/>
    <s v="S"/>
    <s v="F"/>
    <n v="40000"/>
    <n v="2"/>
    <s v="Partial College"/>
    <s v="Skilled Manual"/>
    <s v="Yes"/>
    <n v="2"/>
    <s v="5-10 Miles"/>
    <x v="1"/>
    <n v="52"/>
    <x v="1"/>
    <m/>
    <n v="3333.3333333333335"/>
    <s v="No"/>
    <s v=""/>
  </r>
  <r>
    <n v="19487"/>
    <s v="M"/>
    <s v="M"/>
    <n v="30000"/>
    <n v="2"/>
    <s v="Partial College"/>
    <s v="Clerical"/>
    <s v="No"/>
    <n v="2"/>
    <s v="0-1 Miles"/>
    <x v="0"/>
    <n v="42"/>
    <x v="0"/>
    <m/>
    <n v="2500"/>
    <s v="No"/>
    <s v=""/>
  </r>
  <r>
    <n v="14939"/>
    <s v="S"/>
    <s v="M"/>
    <n v="40000"/>
    <n v="0"/>
    <s v="Bachelors"/>
    <s v="Clerical"/>
    <s v="Yes"/>
    <n v="0"/>
    <s v="0-1 Miles"/>
    <x v="0"/>
    <n v="39"/>
    <x v="1"/>
    <m/>
    <n v="3333.3333333333335"/>
    <s v="No"/>
    <s v=""/>
  </r>
  <r>
    <n v="13826"/>
    <s v="S"/>
    <s v="F"/>
    <n v="30000"/>
    <n v="0"/>
    <s v="Partial College"/>
    <s v="Clerical"/>
    <s v="No"/>
    <n v="1"/>
    <s v="0-1 Miles"/>
    <x v="0"/>
    <n v="28"/>
    <x v="0"/>
    <m/>
    <n v="2500"/>
    <s v="No"/>
    <s v=""/>
  </r>
  <r>
    <n v="20619"/>
    <s v="S"/>
    <s v="M"/>
    <n v="80000"/>
    <n v="0"/>
    <s v="Bachelors"/>
    <s v="Professional"/>
    <s v="No"/>
    <n v="4"/>
    <s v="10+ Miles"/>
    <x v="1"/>
    <n v="35"/>
    <x v="0"/>
    <m/>
    <n v="6666.666666666667"/>
    <s v="Yes"/>
    <s v=""/>
  </r>
  <r>
    <n v="12558"/>
    <s v="M"/>
    <s v="F"/>
    <n v="20000"/>
    <n v="1"/>
    <s v="Bachelors"/>
    <s v="Clerical"/>
    <s v="Yes"/>
    <n v="0"/>
    <s v="0-1 Miles"/>
    <x v="0"/>
    <n v="65"/>
    <x v="0"/>
    <m/>
    <n v="1666.6666666666667"/>
    <s v="No"/>
    <s v="Yes"/>
  </r>
  <r>
    <n v="24871"/>
    <s v="S"/>
    <s v="F"/>
    <n v="90000"/>
    <n v="4"/>
    <s v="High School"/>
    <s v="Management"/>
    <s v="No"/>
    <n v="3"/>
    <s v="5-10 Miles"/>
    <x v="0"/>
    <n v="56"/>
    <x v="0"/>
    <m/>
    <n v="7500"/>
    <s v="Yes"/>
    <s v=""/>
  </r>
  <r>
    <n v="17319"/>
    <s v="S"/>
    <s v="F"/>
    <n v="70000"/>
    <n v="0"/>
    <s v="Bachelors"/>
    <s v="Professional"/>
    <s v="No"/>
    <n v="1"/>
    <s v="5-10 Miles"/>
    <x v="1"/>
    <n v="42"/>
    <x v="0"/>
    <m/>
    <n v="5833.333333333333"/>
    <s v="Yes"/>
    <s v=""/>
  </r>
  <r>
    <n v="28906"/>
    <s v="M"/>
    <s v="M"/>
    <n v="80000"/>
    <n v="4"/>
    <s v="High School"/>
    <s v="Professional"/>
    <s v="Yes"/>
    <n v="2"/>
    <s v="10+ Miles"/>
    <x v="0"/>
    <n v="54"/>
    <x v="0"/>
    <m/>
    <n v="6666.666666666667"/>
    <s v="Yes"/>
    <s v=""/>
  </r>
  <r>
    <n v="12808"/>
    <s v="M"/>
    <s v="M"/>
    <n v="40000"/>
    <n v="0"/>
    <s v="Bachelors"/>
    <s v="Clerical"/>
    <s v="Yes"/>
    <n v="0"/>
    <s v="0-1 Miles"/>
    <x v="0"/>
    <n v="38"/>
    <x v="1"/>
    <m/>
    <n v="3333.3333333333335"/>
    <s v="No"/>
    <s v=""/>
  </r>
  <r>
    <n v="20567"/>
    <s v="M"/>
    <s v="M"/>
    <n v="130000"/>
    <n v="4"/>
    <s v="Partial College"/>
    <s v="Professional"/>
    <s v="No"/>
    <n v="4"/>
    <s v="5-10 Miles"/>
    <x v="0"/>
    <n v="61"/>
    <x v="1"/>
    <m/>
    <n v="10833.333333333334"/>
    <s v="Yes"/>
    <s v=""/>
  </r>
  <r>
    <n v="25502"/>
    <s v="M"/>
    <s v="F"/>
    <n v="40000"/>
    <n v="1"/>
    <s v="Bachelors"/>
    <s v="Skilled Manual"/>
    <s v="Yes"/>
    <n v="0"/>
    <s v="0-1 Miles"/>
    <x v="0"/>
    <n v="43"/>
    <x v="1"/>
    <m/>
    <n v="3333.3333333333335"/>
    <s v="No"/>
    <s v=""/>
  </r>
  <r>
    <n v="15580"/>
    <s v="M"/>
    <s v="M"/>
    <n v="60000"/>
    <n v="2"/>
    <s v="Bachelors"/>
    <s v="Professional"/>
    <s v="Yes"/>
    <n v="1"/>
    <s v="2-5 Miles"/>
    <x v="1"/>
    <n v="38"/>
    <x v="1"/>
    <m/>
    <n v="5000"/>
    <s v="No"/>
    <s v=""/>
  </r>
  <r>
    <n v="24185"/>
    <s v="S"/>
    <s v="F"/>
    <n v="10000"/>
    <n v="1"/>
    <s v="High School"/>
    <s v="Manual"/>
    <s v="No"/>
    <n v="1"/>
    <s v="1-2 Miles"/>
    <x v="0"/>
    <n v="45"/>
    <x v="0"/>
    <m/>
    <n v="833.33333333333337"/>
    <s v="No"/>
    <s v=""/>
  </r>
  <r>
    <n v="19291"/>
    <s v="S"/>
    <s v="F"/>
    <n v="10000"/>
    <n v="2"/>
    <s v="High School"/>
    <s v="Manual"/>
    <s v="Yes"/>
    <n v="0"/>
    <s v="0-1 Miles"/>
    <x v="0"/>
    <n v="35"/>
    <x v="0"/>
    <m/>
    <n v="833.33333333333337"/>
    <s v="No"/>
    <s v=""/>
  </r>
  <r>
    <n v="16713"/>
    <s v="M"/>
    <s v="M"/>
    <n v="40000"/>
    <n v="2"/>
    <s v="Bachelors"/>
    <s v="Management"/>
    <s v="Yes"/>
    <n v="1"/>
    <s v="0-1 Miles"/>
    <x v="1"/>
    <n v="52"/>
    <x v="1"/>
    <m/>
    <n v="3333.3333333333335"/>
    <s v="No"/>
    <s v=""/>
  </r>
  <r>
    <n v="16185"/>
    <s v="S"/>
    <s v="M"/>
    <n v="60000"/>
    <n v="4"/>
    <s v="Bachelors"/>
    <s v="Professional"/>
    <s v="Yes"/>
    <n v="3"/>
    <s v="10+ Miles"/>
    <x v="1"/>
    <n v="41"/>
    <x v="0"/>
    <m/>
    <n v="5000"/>
    <s v="No"/>
    <s v=""/>
  </r>
  <r>
    <n v="14927"/>
    <s v="M"/>
    <s v="F"/>
    <n v="30000"/>
    <n v="1"/>
    <s v="Bachelors"/>
    <s v="Clerical"/>
    <s v="Yes"/>
    <n v="0"/>
    <s v="0-1 Miles"/>
    <x v="0"/>
    <n v="37"/>
    <x v="1"/>
    <m/>
    <n v="2500"/>
    <s v="No"/>
    <s v=""/>
  </r>
  <r>
    <n v="29337"/>
    <s v="S"/>
    <s v="M"/>
    <n v="30000"/>
    <n v="2"/>
    <s v="Partial College"/>
    <s v="Clerical"/>
    <s v="Yes"/>
    <n v="2"/>
    <s v="5-10 Miles"/>
    <x v="1"/>
    <n v="68"/>
    <x v="0"/>
    <m/>
    <n v="2500"/>
    <s v="No"/>
    <s v=""/>
  </r>
  <r>
    <n v="29355"/>
    <s v="M"/>
    <s v="F"/>
    <n v="40000"/>
    <n v="0"/>
    <s v="Graduate Degree"/>
    <s v="Clerical"/>
    <s v="Yes"/>
    <n v="0"/>
    <s v="0-1 Miles"/>
    <x v="0"/>
    <n v="37"/>
    <x v="1"/>
    <m/>
    <n v="3333.3333333333335"/>
    <s v="No"/>
    <s v=""/>
  </r>
  <r>
    <n v="25303"/>
    <s v="S"/>
    <s v="M"/>
    <n v="30000"/>
    <n v="0"/>
    <s v="High School"/>
    <s v="Manual"/>
    <s v="Yes"/>
    <n v="1"/>
    <s v="2-5 Miles"/>
    <x v="0"/>
    <n v="33"/>
    <x v="1"/>
    <m/>
    <n v="2500"/>
    <s v="No"/>
    <s v=""/>
  </r>
  <r>
    <n v="14813"/>
    <s v="S"/>
    <s v="F"/>
    <n v="20000"/>
    <n v="4"/>
    <s v="High School"/>
    <s v="Manual"/>
    <s v="Yes"/>
    <n v="1"/>
    <s v="0-1 Miles"/>
    <x v="0"/>
    <n v="43"/>
    <x v="1"/>
    <m/>
    <n v="1666.6666666666667"/>
    <s v="No"/>
    <s v=""/>
  </r>
  <r>
    <n v="16438"/>
    <s v="M"/>
    <s v="F"/>
    <n v="10000"/>
    <n v="0"/>
    <s v="Partial High School"/>
    <s v="Manual"/>
    <s v="No"/>
    <n v="2"/>
    <s v="0-1 Miles"/>
    <x v="0"/>
    <n v="30"/>
    <x v="0"/>
    <m/>
    <n v="833.33333333333337"/>
    <s v="No"/>
    <s v=""/>
  </r>
  <r>
    <n v="14238"/>
    <s v="M"/>
    <s v="M"/>
    <n v="120000"/>
    <n v="0"/>
    <s v="Partial High School"/>
    <s v="Professional"/>
    <s v="Yes"/>
    <n v="4"/>
    <s v="10+ Miles"/>
    <x v="1"/>
    <n v="36"/>
    <x v="1"/>
    <m/>
    <n v="10000"/>
    <s v="Yes"/>
    <s v=""/>
  </r>
  <r>
    <n v="16200"/>
    <s v="S"/>
    <s v="F"/>
    <n v="10000"/>
    <n v="0"/>
    <s v="Partial High School"/>
    <s v="Manual"/>
    <s v="No"/>
    <n v="2"/>
    <s v="0-1 Miles"/>
    <x v="0"/>
    <n v="35"/>
    <x v="0"/>
    <m/>
    <n v="833.33333333333337"/>
    <s v="No"/>
    <s v=""/>
  </r>
  <r>
    <n v="24857"/>
    <s v="M"/>
    <s v="F"/>
    <n v="130000"/>
    <n v="3"/>
    <s v="High School"/>
    <s v="Professional"/>
    <s v="Yes"/>
    <n v="4"/>
    <s v="0-1 Miles"/>
    <x v="0"/>
    <n v="52"/>
    <x v="0"/>
    <m/>
    <n v="10833.333333333334"/>
    <s v="Yes"/>
    <s v=""/>
  </r>
  <r>
    <n v="26956"/>
    <s v="S"/>
    <s v="F"/>
    <n v="20000"/>
    <n v="0"/>
    <s v="Partial College"/>
    <s v="Manual"/>
    <s v="No"/>
    <n v="1"/>
    <s v="2-5 Miles"/>
    <x v="0"/>
    <n v="36"/>
    <x v="1"/>
    <m/>
    <n v="1666.6666666666667"/>
    <s v="No"/>
    <s v=""/>
  </r>
  <r>
    <n v="14517"/>
    <s v="M"/>
    <s v="F"/>
    <n v="20000"/>
    <n v="3"/>
    <s v="High School"/>
    <s v="Skilled Manual"/>
    <s v="No"/>
    <n v="2"/>
    <s v="1-2 Miles"/>
    <x v="1"/>
    <n v="62"/>
    <x v="0"/>
    <m/>
    <n v="1666.6666666666667"/>
    <s v="No"/>
    <s v=""/>
  </r>
  <r>
    <n v="12678"/>
    <s v="S"/>
    <s v="F"/>
    <n v="130000"/>
    <n v="4"/>
    <s v="High School"/>
    <s v="Management"/>
    <s v="Yes"/>
    <n v="4"/>
    <s v="0-1 Miles"/>
    <x v="1"/>
    <n v="31"/>
    <x v="0"/>
    <m/>
    <n v="10833.333333333334"/>
    <s v="Yes"/>
    <s v=""/>
  </r>
  <r>
    <n v="16188"/>
    <s v="S"/>
    <s v="F"/>
    <n v="20000"/>
    <n v="0"/>
    <s v="Partial High School"/>
    <s v="Manual"/>
    <s v="No"/>
    <n v="2"/>
    <s v="1-2 Miles"/>
    <x v="0"/>
    <n v="26"/>
    <x v="0"/>
    <m/>
    <n v="1666.6666666666667"/>
    <s v="No"/>
    <s v="Yes"/>
  </r>
  <r>
    <n v="27969"/>
    <s v="M"/>
    <s v="M"/>
    <n v="80000"/>
    <n v="0"/>
    <s v="Bachelors"/>
    <s v="Professional"/>
    <s v="Yes"/>
    <n v="2"/>
    <s v="10+ Miles"/>
    <x v="1"/>
    <n v="29"/>
    <x v="1"/>
    <m/>
    <n v="6666.666666666667"/>
    <s v="Yes"/>
    <s v=""/>
  </r>
  <r>
    <n v="15752"/>
    <s v="M"/>
    <s v="M"/>
    <n v="80000"/>
    <n v="2"/>
    <s v="High School"/>
    <s v="Skilled Manual"/>
    <s v="No"/>
    <n v="2"/>
    <s v="1-2 Miles"/>
    <x v="1"/>
    <n v="50"/>
    <x v="1"/>
    <m/>
    <n v="6666.666666666667"/>
    <s v="Yes"/>
    <s v=""/>
  </r>
  <r>
    <n v="27745"/>
    <s v="S"/>
    <s v="M"/>
    <n v="40000"/>
    <n v="2"/>
    <s v="Bachelors"/>
    <s v="Management"/>
    <s v="Yes"/>
    <n v="2"/>
    <s v="5-10 Miles"/>
    <x v="1"/>
    <n v="63"/>
    <x v="1"/>
    <m/>
    <n v="3333.3333333333335"/>
    <s v="No"/>
    <s v=""/>
  </r>
  <r>
    <n v="20828"/>
    <s v="M"/>
    <s v="F"/>
    <n v="30000"/>
    <n v="4"/>
    <s v="Graduate Degree"/>
    <s v="Clerical"/>
    <s v="Yes"/>
    <n v="0"/>
    <s v="0-1 Miles"/>
    <x v="0"/>
    <n v="45"/>
    <x v="1"/>
    <m/>
    <n v="2500"/>
    <s v="No"/>
    <s v=""/>
  </r>
  <r>
    <n v="19461"/>
    <s v="S"/>
    <s v="F"/>
    <n v="10000"/>
    <n v="4"/>
    <s v="Partial High School"/>
    <s v="Manual"/>
    <s v="Yes"/>
    <n v="2"/>
    <s v="0-1 Miles"/>
    <x v="0"/>
    <n v="40"/>
    <x v="0"/>
    <m/>
    <n v="833.33333333333337"/>
    <s v="No"/>
    <s v=""/>
  </r>
  <r>
    <n v="26941"/>
    <s v="M"/>
    <s v="M"/>
    <n v="30000"/>
    <n v="0"/>
    <s v="Bachelors"/>
    <s v="Clerical"/>
    <s v="Yes"/>
    <n v="0"/>
    <s v="0-1 Miles"/>
    <x v="0"/>
    <n v="47"/>
    <x v="1"/>
    <m/>
    <n v="2500"/>
    <s v="No"/>
    <s v=""/>
  </r>
  <r>
    <n v="28412"/>
    <s v="S"/>
    <s v="M"/>
    <n v="20000"/>
    <n v="0"/>
    <s v="High School"/>
    <s v="Manual"/>
    <s v="No"/>
    <n v="1"/>
    <s v="2-5 Miles"/>
    <x v="0"/>
    <n v="29"/>
    <x v="0"/>
    <m/>
    <n v="1666.6666666666667"/>
    <s v="No"/>
    <s v=""/>
  </r>
  <r>
    <n v="24485"/>
    <s v="S"/>
    <s v="M"/>
    <n v="40000"/>
    <n v="2"/>
    <s v="Bachelors"/>
    <s v="Management"/>
    <s v="No"/>
    <n v="1"/>
    <s v="5-10 Miles"/>
    <x v="1"/>
    <n v="52"/>
    <x v="1"/>
    <m/>
    <n v="3333.3333333333335"/>
    <s v="No"/>
    <s v=""/>
  </r>
  <r>
    <n v="16514"/>
    <s v="S"/>
    <s v="M"/>
    <n v="10000"/>
    <n v="0"/>
    <s v="Partial College"/>
    <s v="Manual"/>
    <s v="Yes"/>
    <n v="1"/>
    <s v="1-2 Miles"/>
    <x v="1"/>
    <n v="26"/>
    <x v="1"/>
    <m/>
    <n v="833.33333333333337"/>
    <s v="No"/>
    <s v=""/>
  </r>
  <r>
    <n v="17191"/>
    <s v="S"/>
    <s v="M"/>
    <n v="130000"/>
    <n v="3"/>
    <s v="Partial College"/>
    <s v="Professional"/>
    <s v="No"/>
    <n v="3"/>
    <s v="0-1 Miles"/>
    <x v="0"/>
    <n v="51"/>
    <x v="1"/>
    <m/>
    <n v="10833.333333333334"/>
    <s v="Yes"/>
    <s v=""/>
  </r>
  <r>
    <n v="19608"/>
    <s v="M"/>
    <s v="M"/>
    <n v="80000"/>
    <n v="5"/>
    <s v="Bachelors"/>
    <s v="Professional"/>
    <s v="Yes"/>
    <n v="4"/>
    <s v="1-2 Miles"/>
    <x v="1"/>
    <n v="40"/>
    <x v="0"/>
    <m/>
    <n v="6666.666666666667"/>
    <s v="Yes"/>
    <s v=""/>
  </r>
  <r>
    <n v="24119"/>
    <s v="S"/>
    <s v="M"/>
    <n v="30000"/>
    <n v="0"/>
    <s v="Partial College"/>
    <s v="Clerical"/>
    <s v="No"/>
    <n v="1"/>
    <s v="2-5 Miles"/>
    <x v="0"/>
    <n v="29"/>
    <x v="0"/>
    <m/>
    <n v="2500"/>
    <s v="No"/>
    <s v=""/>
  </r>
  <r>
    <n v="25458"/>
    <s v="M"/>
    <s v="M"/>
    <n v="20000"/>
    <n v="1"/>
    <s v="High School"/>
    <s v="Manual"/>
    <s v="No"/>
    <n v="1"/>
    <s v="1-2 Miles"/>
    <x v="0"/>
    <n v="40"/>
    <x v="1"/>
    <m/>
    <n v="1666.6666666666667"/>
    <s v="No"/>
    <s v=""/>
  </r>
  <r>
    <n v="26886"/>
    <s v="S"/>
    <s v="F"/>
    <n v="30000"/>
    <n v="0"/>
    <s v="Partial College"/>
    <s v="Clerical"/>
    <s v="No"/>
    <n v="1"/>
    <s v="0-1 Miles"/>
    <x v="0"/>
    <n v="29"/>
    <x v="1"/>
    <m/>
    <n v="2500"/>
    <s v="No"/>
    <s v=""/>
  </r>
  <r>
    <n v="28436"/>
    <s v="S"/>
    <s v="M"/>
    <n v="30000"/>
    <n v="0"/>
    <s v="Partial College"/>
    <s v="Clerical"/>
    <s v="No"/>
    <n v="1"/>
    <s v="0-1 Miles"/>
    <x v="0"/>
    <n v="30"/>
    <x v="1"/>
    <m/>
    <n v="2500"/>
    <s v="No"/>
    <s v=""/>
  </r>
  <r>
    <n v="19562"/>
    <s v="S"/>
    <s v="F"/>
    <n v="60000"/>
    <n v="2"/>
    <s v="Bachelors"/>
    <s v="Professional"/>
    <s v="Yes"/>
    <n v="1"/>
    <s v="2-5 Miles"/>
    <x v="1"/>
    <n v="37"/>
    <x v="1"/>
    <m/>
    <n v="5000"/>
    <s v="No"/>
    <s v=""/>
  </r>
  <r>
    <n v="15608"/>
    <s v="S"/>
    <s v="F"/>
    <n v="30000"/>
    <n v="0"/>
    <s v="Partial College"/>
    <s v="Clerical"/>
    <s v="No"/>
    <n v="1"/>
    <s v="2-5 Miles"/>
    <x v="0"/>
    <n v="33"/>
    <x v="0"/>
    <m/>
    <n v="2500"/>
    <s v="No"/>
    <s v=""/>
  </r>
  <r>
    <n v="16487"/>
    <s v="S"/>
    <s v="F"/>
    <n v="30000"/>
    <n v="3"/>
    <s v="High School"/>
    <s v="Skilled Manual"/>
    <s v="Yes"/>
    <n v="2"/>
    <s v="5-10 Miles"/>
    <x v="1"/>
    <n v="55"/>
    <x v="0"/>
    <m/>
    <n v="2500"/>
    <s v="No"/>
    <s v=""/>
  </r>
  <r>
    <n v="17197"/>
    <s v="S"/>
    <s v="F"/>
    <n v="90000"/>
    <n v="5"/>
    <s v="Partial College"/>
    <s v="Professional"/>
    <s v="Yes"/>
    <n v="2"/>
    <s v="10+ Miles"/>
    <x v="0"/>
    <n v="62"/>
    <x v="0"/>
    <m/>
    <n v="7500"/>
    <s v="Yes"/>
    <s v=""/>
  </r>
  <r>
    <n v="12507"/>
    <s v="M"/>
    <s v="M"/>
    <n v="30000"/>
    <n v="1"/>
    <s v="Partial College"/>
    <s v="Clerical"/>
    <s v="Yes"/>
    <n v="1"/>
    <s v="0-1 Miles"/>
    <x v="0"/>
    <n v="43"/>
    <x v="0"/>
    <m/>
    <n v="2500"/>
    <s v="No"/>
    <s v=""/>
  </r>
  <r>
    <n v="23940"/>
    <s v="M"/>
    <s v="M"/>
    <n v="40000"/>
    <n v="1"/>
    <s v="Bachelors"/>
    <s v="Skilled Manual"/>
    <s v="Yes"/>
    <n v="1"/>
    <s v="0-1 Miles"/>
    <x v="0"/>
    <n v="44"/>
    <x v="1"/>
    <m/>
    <n v="3333.3333333333335"/>
    <s v="No"/>
    <s v=""/>
  </r>
  <r>
    <n v="19441"/>
    <s v="M"/>
    <s v="M"/>
    <n v="40000"/>
    <n v="0"/>
    <s v="Graduate Degree"/>
    <s v="Clerical"/>
    <s v="Yes"/>
    <n v="0"/>
    <s v="0-1 Miles"/>
    <x v="0"/>
    <n v="25"/>
    <x v="1"/>
    <m/>
    <n v="3333.3333333333335"/>
    <s v="No"/>
    <s v=""/>
  </r>
  <r>
    <n v="26852"/>
    <s v="M"/>
    <s v="F"/>
    <n v="20000"/>
    <n v="3"/>
    <s v="High School"/>
    <s v="Manual"/>
    <s v="Yes"/>
    <n v="2"/>
    <s v="0-1 Miles"/>
    <x v="0"/>
    <n v="43"/>
    <x v="0"/>
    <m/>
    <n v="1666.6666666666667"/>
    <s v="No"/>
    <s v=""/>
  </r>
  <r>
    <n v="12274"/>
    <s v="S"/>
    <s v="M"/>
    <n v="10000"/>
    <n v="2"/>
    <s v="High School"/>
    <s v="Manual"/>
    <s v="Yes"/>
    <n v="0"/>
    <s v="0-1 Miles"/>
    <x v="0"/>
    <n v="35"/>
    <x v="0"/>
    <m/>
    <n v="833.33333333333337"/>
    <s v="No"/>
    <s v=""/>
  </r>
  <r>
    <n v="20236"/>
    <s v="S"/>
    <s v="M"/>
    <n v="60000"/>
    <n v="3"/>
    <s v="Bachelors"/>
    <s v="Professional"/>
    <s v="No"/>
    <n v="2"/>
    <s v="0-1 Miles"/>
    <x v="1"/>
    <n v="43"/>
    <x v="1"/>
    <m/>
    <n v="5000"/>
    <s v="No"/>
    <s v=""/>
  </r>
  <r>
    <n v="24149"/>
    <s v="M"/>
    <s v="M"/>
    <n v="10000"/>
    <n v="2"/>
    <s v="Partial College"/>
    <s v="Manual"/>
    <s v="Yes"/>
    <n v="0"/>
    <s v="1-2 Miles"/>
    <x v="0"/>
    <n v="49"/>
    <x v="0"/>
    <m/>
    <n v="833.33333333333337"/>
    <s v="No"/>
    <s v=""/>
  </r>
  <r>
    <n v="26139"/>
    <s v="S"/>
    <s v="M"/>
    <n v="60000"/>
    <n v="1"/>
    <s v="Partial College"/>
    <s v="Skilled Manual"/>
    <s v="Yes"/>
    <n v="1"/>
    <s v="5-10 Miles"/>
    <x v="1"/>
    <n v="45"/>
    <x v="0"/>
    <m/>
    <n v="5000"/>
    <s v="No"/>
    <s v=""/>
  </r>
  <r>
    <n v="18491"/>
    <s v="S"/>
    <s v="F"/>
    <n v="70000"/>
    <n v="2"/>
    <s v="High School"/>
    <s v="Professional"/>
    <s v="Yes"/>
    <n v="2"/>
    <s v="5-10 Miles"/>
    <x v="1"/>
    <n v="49"/>
    <x v="1"/>
    <m/>
    <n v="5833.333333333333"/>
    <s v="Yes"/>
    <s v=""/>
  </r>
  <r>
    <n v="22707"/>
    <s v="S"/>
    <s v="F"/>
    <n v="30000"/>
    <n v="0"/>
    <s v="Partial College"/>
    <s v="Clerical"/>
    <s v="No"/>
    <n v="1"/>
    <s v="2-5 Miles"/>
    <x v="0"/>
    <n v="30"/>
    <x v="0"/>
    <m/>
    <n v="2500"/>
    <s v="No"/>
    <s v=""/>
  </r>
  <r>
    <n v="20430"/>
    <s v="M"/>
    <s v="M"/>
    <n v="70000"/>
    <n v="2"/>
    <s v="Partial College"/>
    <s v="Skilled Manual"/>
    <s v="Yes"/>
    <n v="2"/>
    <s v="5-10 Miles"/>
    <x v="1"/>
    <n v="52"/>
    <x v="1"/>
    <m/>
    <n v="5833.333333333333"/>
    <s v="Yes"/>
    <s v=""/>
  </r>
  <r>
    <n v="27494"/>
    <s v="S"/>
    <s v="F"/>
    <n v="40000"/>
    <n v="2"/>
    <s v="Partial College"/>
    <s v="Skilled Manual"/>
    <s v="No"/>
    <n v="2"/>
    <s v="1-2 Miles"/>
    <x v="1"/>
    <n v="53"/>
    <x v="1"/>
    <m/>
    <n v="3333.3333333333335"/>
    <s v="No"/>
    <s v=""/>
  </r>
  <r>
    <n v="26829"/>
    <s v="M"/>
    <s v="F"/>
    <n v="40000"/>
    <n v="0"/>
    <s v="Bachelors"/>
    <s v="Clerical"/>
    <s v="Yes"/>
    <n v="0"/>
    <s v="0-1 Miles"/>
    <x v="0"/>
    <n v="38"/>
    <x v="1"/>
    <m/>
    <n v="3333.3333333333335"/>
    <s v="No"/>
    <s v=""/>
  </r>
  <r>
    <n v="28395"/>
    <s v="S"/>
    <s v="M"/>
    <n v="40000"/>
    <n v="0"/>
    <s v="Bachelors"/>
    <s v="Professional"/>
    <s v="No"/>
    <n v="0"/>
    <s v="0-1 Miles"/>
    <x v="0"/>
    <n v="39"/>
    <x v="1"/>
    <m/>
    <n v="3333.3333333333335"/>
    <s v="No"/>
    <s v=""/>
  </r>
  <r>
    <n v="21006"/>
    <s v="S"/>
    <s v="F"/>
    <n v="30000"/>
    <n v="1"/>
    <s v="Partial College"/>
    <s v="Manual"/>
    <s v="No"/>
    <n v="0"/>
    <s v="0-1 Miles"/>
    <x v="0"/>
    <n v="46"/>
    <x v="1"/>
    <m/>
    <n v="2500"/>
    <s v="No"/>
    <s v=""/>
  </r>
  <r>
    <n v="14682"/>
    <s v="S"/>
    <s v="F"/>
    <n v="70000"/>
    <n v="0"/>
    <s v="Bachelors"/>
    <s v="Professional"/>
    <s v="No"/>
    <n v="1"/>
    <s v="5-10 Miles"/>
    <x v="1"/>
    <n v="38"/>
    <x v="0"/>
    <m/>
    <n v="5833.333333333333"/>
    <s v="Yes"/>
    <s v=""/>
  </r>
  <r>
    <n v="17650"/>
    <s v="S"/>
    <s v="F"/>
    <n v="40000"/>
    <n v="2"/>
    <s v="Partial College"/>
    <s v="Clerical"/>
    <s v="Yes"/>
    <n v="2"/>
    <s v="1-2 Miles"/>
    <x v="0"/>
    <n v="35"/>
    <x v="0"/>
    <m/>
    <n v="3333.3333333333335"/>
    <s v="No"/>
    <s v=""/>
  </r>
  <r>
    <n v="29191"/>
    <s v="S"/>
    <s v="F"/>
    <n v="130000"/>
    <n v="1"/>
    <s v="Graduate Degree"/>
    <s v="Management"/>
    <s v="No"/>
    <n v="1"/>
    <s v="0-1 Miles"/>
    <x v="1"/>
    <n v="36"/>
    <x v="1"/>
    <m/>
    <n v="10833.333333333334"/>
    <s v="Yes"/>
    <s v=""/>
  </r>
  <r>
    <n v="15030"/>
    <s v="M"/>
    <s v="M"/>
    <n v="20000"/>
    <n v="0"/>
    <s v="Bachelors"/>
    <s v="Clerical"/>
    <s v="Yes"/>
    <n v="0"/>
    <s v="0-1 Miles"/>
    <x v="1"/>
    <n v="26"/>
    <x v="1"/>
    <m/>
    <n v="1666.6666666666667"/>
    <s v="No"/>
    <s v=""/>
  </r>
  <r>
    <n v="24140"/>
    <s v="S"/>
    <s v="M"/>
    <n v="10000"/>
    <n v="0"/>
    <s v="Graduate Degree"/>
    <s v="Manual"/>
    <s v="No"/>
    <n v="0"/>
    <s v="0-1 Miles"/>
    <x v="0"/>
    <n v="30"/>
    <x v="1"/>
    <m/>
    <n v="833.33333333333337"/>
    <s v="No"/>
    <s v=""/>
  </r>
  <r>
    <n v="22496"/>
    <s v="M"/>
    <s v="F"/>
    <n v="30000"/>
    <n v="1"/>
    <s v="Bachelors"/>
    <s v="Skilled Manual"/>
    <s v="Yes"/>
    <n v="2"/>
    <s v="0-1 Miles"/>
    <x v="0"/>
    <n v="42"/>
    <x v="0"/>
    <m/>
    <n v="2500"/>
    <s v="No"/>
    <s v=""/>
  </r>
  <r>
    <n v="24065"/>
    <s v="S"/>
    <s v="F"/>
    <n v="20000"/>
    <n v="0"/>
    <s v="High School"/>
    <s v="Manual"/>
    <s v="Yes"/>
    <n v="0"/>
    <s v="0-1 Miles"/>
    <x v="0"/>
    <n v="40"/>
    <x v="1"/>
    <m/>
    <n v="1666.6666666666667"/>
    <s v="No"/>
    <s v=""/>
  </r>
  <r>
    <n v="19914"/>
    <s v="M"/>
    <s v="M"/>
    <n v="80000"/>
    <n v="5"/>
    <s v="Bachelors"/>
    <s v="Management"/>
    <s v="Yes"/>
    <n v="2"/>
    <s v="2-5 Miles"/>
    <x v="0"/>
    <n v="62"/>
    <x v="0"/>
    <m/>
    <n v="6666.666666666667"/>
    <s v="Yes"/>
    <s v=""/>
  </r>
  <r>
    <n v="12871"/>
    <s v="S"/>
    <s v="F"/>
    <n v="30000"/>
    <n v="0"/>
    <s v="Partial College"/>
    <s v="Clerical"/>
    <s v="No"/>
    <n v="1"/>
    <s v="2-5 Miles"/>
    <x v="0"/>
    <n v="29"/>
    <x v="0"/>
    <m/>
    <n v="2500"/>
    <s v="No"/>
    <s v=""/>
  </r>
  <r>
    <n v="22988"/>
    <s v="M"/>
    <s v="F"/>
    <n v="40000"/>
    <n v="2"/>
    <s v="Bachelors"/>
    <s v="Management"/>
    <s v="Yes"/>
    <n v="2"/>
    <s v="5-10 Miles"/>
    <x v="1"/>
    <n v="66"/>
    <x v="1"/>
    <m/>
    <n v="3333.3333333333335"/>
    <s v="No"/>
    <s v=""/>
  </r>
  <r>
    <n v="15922"/>
    <s v="M"/>
    <s v="M"/>
    <n v="150000"/>
    <n v="2"/>
    <s v="High School"/>
    <s v="Professional"/>
    <s v="Yes"/>
    <n v="4"/>
    <s v="0-1 Miles"/>
    <x v="0"/>
    <n v="48"/>
    <x v="0"/>
    <m/>
    <n v="12500"/>
    <s v="Yes"/>
    <s v=""/>
  </r>
  <r>
    <n v="12344"/>
    <s v="S"/>
    <s v="F"/>
    <n v="80000"/>
    <n v="0"/>
    <s v="Bachelors"/>
    <s v="Professional"/>
    <s v="No"/>
    <n v="3"/>
    <s v="10+ Miles"/>
    <x v="1"/>
    <n v="31"/>
    <x v="0"/>
    <m/>
    <n v="6666.666666666667"/>
    <s v="Yes"/>
    <s v=""/>
  </r>
  <r>
    <n v="23627"/>
    <s v="S"/>
    <s v="F"/>
    <n v="100000"/>
    <n v="3"/>
    <s v="Partial College"/>
    <s v="Management"/>
    <s v="No"/>
    <n v="4"/>
    <s v="5-10 Miles"/>
    <x v="0"/>
    <n v="56"/>
    <x v="0"/>
    <m/>
    <n v="8333.3333333333339"/>
    <s v="Yes"/>
    <s v="Yes"/>
  </r>
  <r>
    <n v="27775"/>
    <s v="S"/>
    <s v="F"/>
    <n v="40000"/>
    <n v="0"/>
    <s v="Bachelors"/>
    <s v="Clerical"/>
    <s v="No"/>
    <n v="0"/>
    <s v="0-1 Miles"/>
    <x v="0"/>
    <n v="38"/>
    <x v="1"/>
    <m/>
    <n v="3333.3333333333335"/>
    <s v="No"/>
    <s v=""/>
  </r>
  <r>
    <n v="29301"/>
    <s v="M"/>
    <s v="M"/>
    <n v="80000"/>
    <n v="5"/>
    <s v="Bachelors"/>
    <s v="Professional"/>
    <s v="Yes"/>
    <n v="4"/>
    <s v="1-2 Miles"/>
    <x v="1"/>
    <n v="40"/>
    <x v="0"/>
    <m/>
    <n v="6666.666666666667"/>
    <s v="Yes"/>
    <s v=""/>
  </r>
  <r>
    <n v="12716"/>
    <s v="S"/>
    <s v="M"/>
    <n v="30000"/>
    <n v="0"/>
    <s v="Partial College"/>
    <s v="Clerical"/>
    <s v="Yes"/>
    <n v="1"/>
    <s v="2-5 Miles"/>
    <x v="0"/>
    <n v="32"/>
    <x v="0"/>
    <m/>
    <n v="2500"/>
    <s v="No"/>
    <s v=""/>
  </r>
  <r>
    <n v="12472"/>
    <s v="M"/>
    <s v="M"/>
    <n v="30000"/>
    <n v="1"/>
    <s v="Bachelors"/>
    <s v="Clerical"/>
    <s v="Yes"/>
    <n v="1"/>
    <s v="2-5 Miles"/>
    <x v="0"/>
    <n v="39"/>
    <x v="0"/>
    <m/>
    <n v="2500"/>
    <s v="No"/>
    <s v=""/>
  </r>
  <r>
    <n v="20970"/>
    <s v="S"/>
    <s v="M"/>
    <n v="10000"/>
    <n v="2"/>
    <s v="Partial College"/>
    <s v="Manual"/>
    <s v="Yes"/>
    <n v="1"/>
    <s v="0-1 Miles"/>
    <x v="0"/>
    <n v="52"/>
    <x v="1"/>
    <m/>
    <n v="833.33333333333337"/>
    <s v="No"/>
    <s v=""/>
  </r>
  <r>
    <n v="26818"/>
    <s v="S"/>
    <s v="M"/>
    <n v="10000"/>
    <n v="3"/>
    <s v="High School"/>
    <s v="Manual"/>
    <s v="Yes"/>
    <n v="1"/>
    <s v="0-1 Miles"/>
    <x v="0"/>
    <n v="39"/>
    <x v="1"/>
    <m/>
    <n v="833.33333333333337"/>
    <s v="No"/>
    <s v=""/>
  </r>
  <r>
    <n v="12993"/>
    <s v="M"/>
    <s v="M"/>
    <n v="60000"/>
    <n v="2"/>
    <s v="Bachelors"/>
    <s v="Professional"/>
    <s v="Yes"/>
    <n v="1"/>
    <s v="2-5 Miles"/>
    <x v="1"/>
    <n v="37"/>
    <x v="0"/>
    <m/>
    <n v="5000"/>
    <s v="No"/>
    <s v=""/>
  </r>
  <r>
    <n v="14192"/>
    <s v="M"/>
    <s v="M"/>
    <n v="90000"/>
    <n v="4"/>
    <s v="High School"/>
    <s v="Management"/>
    <s v="Yes"/>
    <n v="3"/>
    <s v="5-10 Miles"/>
    <x v="0"/>
    <n v="56"/>
    <x v="1"/>
    <m/>
    <n v="7500"/>
    <s v="Yes"/>
    <s v=""/>
  </r>
  <r>
    <n v="19477"/>
    <s v="M"/>
    <s v="M"/>
    <n v="40000"/>
    <n v="0"/>
    <s v="Bachelors"/>
    <s v="Professional"/>
    <s v="Yes"/>
    <n v="0"/>
    <s v="0-1 Miles"/>
    <x v="0"/>
    <n v="40"/>
    <x v="1"/>
    <m/>
    <n v="3333.3333333333335"/>
    <s v="No"/>
    <s v=""/>
  </r>
  <r>
    <n v="26796"/>
    <s v="S"/>
    <s v="M"/>
    <n v="40000"/>
    <n v="2"/>
    <s v="Bachelors"/>
    <s v="Management"/>
    <s v="Yes"/>
    <n v="2"/>
    <s v="5-10 Miles"/>
    <x v="1"/>
    <n v="65"/>
    <x v="1"/>
    <m/>
    <n v="3333.3333333333335"/>
    <s v="No"/>
    <s v=""/>
  </r>
  <r>
    <n v="21094"/>
    <s v="S"/>
    <s v="F"/>
    <n v="30000"/>
    <n v="2"/>
    <s v="Partial College"/>
    <s v="Clerical"/>
    <s v="Yes"/>
    <n v="2"/>
    <s v="0-1 Miles"/>
    <x v="0"/>
    <n v="42"/>
    <x v="0"/>
    <m/>
    <n v="2500"/>
    <s v="No"/>
    <s v=""/>
  </r>
  <r>
    <n v="12234"/>
    <s v="M"/>
    <s v="M"/>
    <n v="10000"/>
    <n v="2"/>
    <s v="Partial College"/>
    <s v="Manual"/>
    <s v="Yes"/>
    <n v="1"/>
    <s v="2-5 Miles"/>
    <x v="0"/>
    <n v="52"/>
    <x v="0"/>
    <m/>
    <n v="833.33333333333337"/>
    <s v="No"/>
    <s v=""/>
  </r>
  <r>
    <n v="28683"/>
    <s v="S"/>
    <s v="F"/>
    <n v="10000"/>
    <n v="1"/>
    <s v="High School"/>
    <s v="Manual"/>
    <s v="No"/>
    <n v="1"/>
    <s v="5-10 Miles"/>
    <x v="0"/>
    <n v="35"/>
    <x v="1"/>
    <m/>
    <n v="833.33333333333337"/>
    <s v="No"/>
    <s v=""/>
  </r>
  <r>
    <n v="17994"/>
    <s v="S"/>
    <s v="M"/>
    <n v="20000"/>
    <n v="2"/>
    <s v="High School"/>
    <s v="Manual"/>
    <s v="Yes"/>
    <n v="2"/>
    <s v="0-1 Miles"/>
    <x v="0"/>
    <n v="42"/>
    <x v="0"/>
    <m/>
    <n v="1666.6666666666667"/>
    <s v="No"/>
    <s v=""/>
  </r>
  <r>
    <n v="24273"/>
    <s v="M"/>
    <s v="F"/>
    <n v="20000"/>
    <n v="2"/>
    <s v="Partial High School"/>
    <s v="Clerical"/>
    <s v="Yes"/>
    <n v="2"/>
    <s v="5-10 Miles"/>
    <x v="1"/>
    <n v="55"/>
    <x v="1"/>
    <m/>
    <n v="1666.6666666666667"/>
    <s v="No"/>
    <s v=""/>
  </r>
  <r>
    <n v="26547"/>
    <s v="S"/>
    <s v="F"/>
    <n v="30000"/>
    <n v="2"/>
    <s v="Partial College"/>
    <s v="Clerical"/>
    <s v="No"/>
    <n v="2"/>
    <s v="5-10 Miles"/>
    <x v="1"/>
    <n v="60"/>
    <x v="1"/>
    <m/>
    <n v="2500"/>
    <s v="No"/>
    <s v=""/>
  </r>
  <r>
    <n v="22500"/>
    <s v="S"/>
    <s v="M"/>
    <n v="40000"/>
    <n v="0"/>
    <s v="Bachelors"/>
    <s v="Professional"/>
    <s v="No"/>
    <n v="0"/>
    <s v="0-1 Miles"/>
    <x v="0"/>
    <n v="40"/>
    <x v="1"/>
    <m/>
    <n v="3333.3333333333335"/>
    <s v="No"/>
    <s v=""/>
  </r>
  <r>
    <n v="23993"/>
    <s v="S"/>
    <s v="F"/>
    <n v="10000"/>
    <n v="0"/>
    <s v="Partial College"/>
    <s v="Manual"/>
    <s v="No"/>
    <n v="1"/>
    <s v="0-1 Miles"/>
    <x v="1"/>
    <n v="26"/>
    <x v="1"/>
    <m/>
    <n v="833.33333333333337"/>
    <s v="No"/>
    <s v=""/>
  </r>
  <r>
    <n v="14832"/>
    <s v="M"/>
    <s v="M"/>
    <n v="40000"/>
    <n v="1"/>
    <s v="Bachelors"/>
    <s v="Skilled Manual"/>
    <s v="Yes"/>
    <n v="0"/>
    <s v="0-1 Miles"/>
    <x v="0"/>
    <n v="42"/>
    <x v="1"/>
    <m/>
    <n v="3333.3333333333335"/>
    <s v="No"/>
    <s v=""/>
  </r>
  <r>
    <n v="16614"/>
    <s v="M"/>
    <s v="F"/>
    <n v="80000"/>
    <n v="0"/>
    <s v="Bachelors"/>
    <s v="Professional"/>
    <s v="Yes"/>
    <n v="3"/>
    <s v="10+ Miles"/>
    <x v="1"/>
    <n v="32"/>
    <x v="0"/>
    <m/>
    <n v="6666.666666666667"/>
    <s v="Yes"/>
    <s v=""/>
  </r>
  <r>
    <n v="20877"/>
    <s v="S"/>
    <s v="M"/>
    <n v="30000"/>
    <n v="1"/>
    <s v="Bachelors"/>
    <s v="Clerical"/>
    <s v="Yes"/>
    <n v="0"/>
    <s v="1-2 Miles"/>
    <x v="0"/>
    <n v="37"/>
    <x v="1"/>
    <m/>
    <n v="2500"/>
    <s v="No"/>
    <s v="Yes"/>
  </r>
  <r>
    <n v="20729"/>
    <s v="M"/>
    <s v="F"/>
    <n v="40000"/>
    <n v="2"/>
    <s v="Partial College"/>
    <s v="Clerical"/>
    <s v="No"/>
    <n v="1"/>
    <s v="0-1 Miles"/>
    <x v="0"/>
    <n v="34"/>
    <x v="0"/>
    <m/>
    <n v="3333.3333333333335"/>
    <s v="No"/>
    <s v=""/>
  </r>
  <r>
    <n v="22464"/>
    <s v="M"/>
    <s v="M"/>
    <n v="40000"/>
    <n v="0"/>
    <s v="Graduate Degree"/>
    <s v="Clerical"/>
    <s v="Yes"/>
    <n v="0"/>
    <s v="0-1 Miles"/>
    <x v="0"/>
    <n v="37"/>
    <x v="1"/>
    <m/>
    <n v="3333.3333333333335"/>
    <s v="No"/>
    <s v=""/>
  </r>
  <r>
    <n v="19475"/>
    <s v="M"/>
    <s v="F"/>
    <n v="40000"/>
    <n v="0"/>
    <s v="Bachelors"/>
    <s v="Professional"/>
    <s v="No"/>
    <n v="0"/>
    <s v="0-1 Miles"/>
    <x v="0"/>
    <n v="40"/>
    <x v="1"/>
    <m/>
    <n v="3333.3333333333335"/>
    <s v="No"/>
    <s v=""/>
  </r>
  <r>
    <n v="19675"/>
    <s v="M"/>
    <s v="M"/>
    <n v="20000"/>
    <n v="4"/>
    <s v="High School"/>
    <s v="Skilled Manual"/>
    <s v="Yes"/>
    <n v="2"/>
    <s v="5-10 Miles"/>
    <x v="1"/>
    <n v="60"/>
    <x v="0"/>
    <m/>
    <n v="1666.6666666666667"/>
    <s v="No"/>
    <s v=""/>
  </r>
  <r>
    <n v="12728"/>
    <s v="S"/>
    <s v="M"/>
    <n v="30000"/>
    <n v="0"/>
    <s v="Partial College"/>
    <s v="Clerical"/>
    <s v="No"/>
    <n v="1"/>
    <s v="1-2 Miles"/>
    <x v="0"/>
    <n v="27"/>
    <x v="0"/>
    <m/>
    <n v="2500"/>
    <s v="No"/>
    <s v=""/>
  </r>
  <r>
    <n v="26154"/>
    <s v="M"/>
    <s v="M"/>
    <n v="60000"/>
    <n v="1"/>
    <s v="Partial College"/>
    <s v="Skilled Manual"/>
    <s v="Yes"/>
    <n v="1"/>
    <s v="5-10 Miles"/>
    <x v="1"/>
    <n v="43"/>
    <x v="1"/>
    <m/>
    <n v="5000"/>
    <s v="No"/>
    <s v=""/>
  </r>
  <r>
    <n v="29117"/>
    <s v="S"/>
    <s v="M"/>
    <n v="100000"/>
    <n v="1"/>
    <s v="Bachelors"/>
    <s v="Management"/>
    <s v="No"/>
    <n v="3"/>
    <s v="0-1 Miles"/>
    <x v="1"/>
    <n v="48"/>
    <x v="0"/>
    <m/>
    <n v="8333.3333333333339"/>
    <s v="Yes"/>
    <s v=""/>
  </r>
  <r>
    <n v="17845"/>
    <s v="S"/>
    <s v="F"/>
    <n v="20000"/>
    <n v="0"/>
    <s v="Partial High School"/>
    <s v="Manual"/>
    <s v="No"/>
    <n v="2"/>
    <s v="1-2 Miles"/>
    <x v="0"/>
    <n v="32"/>
    <x v="0"/>
    <m/>
    <n v="1666.6666666666667"/>
    <s v="No"/>
    <s v=""/>
  </r>
  <r>
    <n v="25058"/>
    <s v="M"/>
    <s v="M"/>
    <n v="100000"/>
    <n v="1"/>
    <s v="Bachelors"/>
    <s v="Management"/>
    <s v="Yes"/>
    <n v="3"/>
    <s v="2-5 Miles"/>
    <x v="1"/>
    <n v="47"/>
    <x v="0"/>
    <m/>
    <n v="8333.3333333333339"/>
    <s v="Yes"/>
    <s v=""/>
  </r>
  <r>
    <n v="23426"/>
    <s v="S"/>
    <s v="M"/>
    <n v="80000"/>
    <n v="5"/>
    <s v="Graduate Degree"/>
    <s v="Management"/>
    <s v="Yes"/>
    <n v="3"/>
    <s v="0-1 Miles"/>
    <x v="1"/>
    <n v="40"/>
    <x v="0"/>
    <m/>
    <n v="6666.666666666667"/>
    <s v="Yes"/>
    <s v=""/>
  </r>
  <r>
    <n v="14798"/>
    <s v="S"/>
    <s v="F"/>
    <n v="10000"/>
    <n v="4"/>
    <s v="Partial High School"/>
    <s v="Manual"/>
    <s v="Yes"/>
    <n v="2"/>
    <s v="0-1 Miles"/>
    <x v="0"/>
    <n v="41"/>
    <x v="1"/>
    <m/>
    <n v="833.33333333333337"/>
    <s v="No"/>
    <s v=""/>
  </r>
  <r>
    <n v="12664"/>
    <s v="M"/>
    <s v="F"/>
    <n v="130000"/>
    <n v="5"/>
    <s v="Partial College"/>
    <s v="Professional"/>
    <s v="Yes"/>
    <n v="4"/>
    <s v="0-1 Miles"/>
    <x v="0"/>
    <n v="59"/>
    <x v="0"/>
    <m/>
    <n v="10833.333333333334"/>
    <s v="Yes"/>
    <s v=""/>
  </r>
  <r>
    <n v="23979"/>
    <s v="S"/>
    <s v="M"/>
    <n v="10000"/>
    <n v="2"/>
    <s v="Partial College"/>
    <s v="Manual"/>
    <s v="No"/>
    <n v="0"/>
    <s v="0-1 Miles"/>
    <x v="0"/>
    <n v="50"/>
    <x v="0"/>
    <m/>
    <n v="833.33333333333337"/>
    <s v="No"/>
    <s v=""/>
  </r>
  <r>
    <n v="25605"/>
    <s v="S"/>
    <s v="F"/>
    <n v="20000"/>
    <n v="2"/>
    <s v="Partial College"/>
    <s v="Manual"/>
    <s v="No"/>
    <n v="1"/>
    <s v="0-1 Miles"/>
    <x v="0"/>
    <n v="54"/>
    <x v="1"/>
    <m/>
    <n v="1666.6666666666667"/>
    <s v="No"/>
    <s v=""/>
  </r>
  <r>
    <n v="20797"/>
    <s v="M"/>
    <s v="F"/>
    <n v="10000"/>
    <n v="1"/>
    <s v="Bachelors"/>
    <s v="Manual"/>
    <s v="Yes"/>
    <n v="0"/>
    <s v="0-1 Miles"/>
    <x v="0"/>
    <n v="48"/>
    <x v="0"/>
    <m/>
    <n v="833.33333333333337"/>
    <s v="No"/>
    <s v=""/>
  </r>
  <r>
    <n v="21980"/>
    <s v="S"/>
    <s v="F"/>
    <n v="60000"/>
    <n v="1"/>
    <s v="Bachelors"/>
    <s v="Professional"/>
    <s v="Yes"/>
    <n v="1"/>
    <s v="5-10 Miles"/>
    <x v="1"/>
    <n v="44"/>
    <x v="1"/>
    <m/>
    <n v="5000"/>
    <s v="No"/>
    <s v=""/>
  </r>
  <r>
    <n v="25460"/>
    <s v="M"/>
    <s v="F"/>
    <n v="20000"/>
    <n v="2"/>
    <s v="High School"/>
    <s v="Manual"/>
    <s v="Yes"/>
    <n v="0"/>
    <s v="0-1 Miles"/>
    <x v="0"/>
    <n v="40"/>
    <x v="1"/>
    <m/>
    <n v="1666.6666666666667"/>
    <s v="No"/>
    <s v=""/>
  </r>
  <r>
    <n v="29181"/>
    <s v="S"/>
    <s v="F"/>
    <n v="60000"/>
    <n v="2"/>
    <s v="Bachelors"/>
    <s v="Professional"/>
    <s v="No"/>
    <n v="1"/>
    <s v="0-1 Miles"/>
    <x v="1"/>
    <n v="38"/>
    <x v="1"/>
    <m/>
    <n v="5000"/>
    <s v="No"/>
    <s v=""/>
  </r>
  <r>
    <n v="24279"/>
    <s v="S"/>
    <s v="M"/>
    <n v="40000"/>
    <n v="2"/>
    <s v="Partial College"/>
    <s v="Skilled Manual"/>
    <s v="No"/>
    <n v="2"/>
    <s v="1-2 Miles"/>
    <x v="1"/>
    <n v="52"/>
    <x v="0"/>
    <m/>
    <n v="3333.3333333333335"/>
    <s v="No"/>
    <s v=""/>
  </r>
  <r>
    <n v="22402"/>
    <s v="M"/>
    <s v="M"/>
    <n v="10000"/>
    <n v="0"/>
    <s v="Partial College"/>
    <s v="Manual"/>
    <s v="Yes"/>
    <n v="1"/>
    <s v="2-5 Miles"/>
    <x v="1"/>
    <n v="25"/>
    <x v="1"/>
    <m/>
    <n v="833.33333333333337"/>
    <s v="No"/>
    <s v=""/>
  </r>
  <r>
    <n v="15465"/>
    <s v="M"/>
    <s v="F"/>
    <n v="10000"/>
    <n v="0"/>
    <s v="Partial College"/>
    <s v="Manual"/>
    <s v="No"/>
    <n v="1"/>
    <s v="0-1 Miles"/>
    <x v="1"/>
    <n v="25"/>
    <x v="0"/>
    <m/>
    <n v="833.33333333333337"/>
    <s v="No"/>
    <s v=""/>
  </r>
  <r>
    <n v="26757"/>
    <s v="S"/>
    <s v="M"/>
    <n v="90000"/>
    <n v="1"/>
    <s v="Bachelors"/>
    <s v="Professional"/>
    <s v="Yes"/>
    <n v="1"/>
    <s v="2-5 Miles"/>
    <x v="1"/>
    <n v="47"/>
    <x v="1"/>
    <m/>
    <n v="7500"/>
    <s v="Yes"/>
    <s v=""/>
  </r>
  <r>
    <n v="14233"/>
    <s v="S"/>
    <s v="M"/>
    <n v="100000"/>
    <n v="0"/>
    <s v="High School"/>
    <s v="Management"/>
    <s v="Yes"/>
    <n v="3"/>
    <s v="10+ Miles"/>
    <x v="1"/>
    <n v="35"/>
    <x v="0"/>
    <m/>
    <n v="8333.3333333333339"/>
    <s v="Yes"/>
    <s v=""/>
  </r>
  <r>
    <n v="14058"/>
    <s v="S"/>
    <s v="M"/>
    <n v="70000"/>
    <n v="0"/>
    <s v="Bachelors"/>
    <s v="Professional"/>
    <s v="No"/>
    <n v="1"/>
    <s v="5-10 Miles"/>
    <x v="1"/>
    <n v="41"/>
    <x v="1"/>
    <m/>
    <n v="5833.333333333333"/>
    <s v="Yes"/>
    <s v="Yes"/>
  </r>
  <r>
    <n v="12273"/>
    <s v="M"/>
    <s v="M"/>
    <n v="30000"/>
    <n v="1"/>
    <s v="Bachelors"/>
    <s v="Clerical"/>
    <s v="Yes"/>
    <n v="0"/>
    <s v="0-1 Miles"/>
    <x v="0"/>
    <n v="47"/>
    <x v="0"/>
    <m/>
    <n v="2500"/>
    <s v="No"/>
    <s v=""/>
  </r>
  <r>
    <n v="17203"/>
    <s v="M"/>
    <s v="F"/>
    <n v="130000"/>
    <n v="4"/>
    <s v="Partial College"/>
    <s v="Professional"/>
    <s v="Yes"/>
    <n v="4"/>
    <s v="5-10 Miles"/>
    <x v="0"/>
    <n v="61"/>
    <x v="1"/>
    <m/>
    <n v="10833.333333333334"/>
    <s v="Yes"/>
    <s v=""/>
  </r>
  <r>
    <n v="18144"/>
    <s v="M"/>
    <s v="F"/>
    <n v="80000"/>
    <n v="5"/>
    <s v="Bachelors"/>
    <s v="Management"/>
    <s v="Yes"/>
    <n v="2"/>
    <s v="2-5 Miles"/>
    <x v="0"/>
    <n v="61"/>
    <x v="0"/>
    <m/>
    <n v="6666.666666666667"/>
    <s v="Yes"/>
    <s v=""/>
  </r>
  <r>
    <n v="23963"/>
    <s v="M"/>
    <s v="M"/>
    <n v="10000"/>
    <n v="0"/>
    <s v="Partial High School"/>
    <s v="Manual"/>
    <s v="No"/>
    <n v="2"/>
    <s v="0-1 Miles"/>
    <x v="0"/>
    <n v="33"/>
    <x v="0"/>
    <m/>
    <n v="833.33333333333337"/>
    <s v="No"/>
    <s v=""/>
  </r>
  <r>
    <n v="17907"/>
    <s v="M"/>
    <s v="F"/>
    <n v="10000"/>
    <n v="0"/>
    <s v="Partial College"/>
    <s v="Manual"/>
    <s v="Yes"/>
    <n v="1"/>
    <s v="2-5 Miles"/>
    <x v="1"/>
    <n v="27"/>
    <x v="0"/>
    <m/>
    <n v="833.33333333333337"/>
    <s v="No"/>
    <m/>
  </r>
  <r>
    <n v="19442"/>
    <s v="S"/>
    <s v="M"/>
    <n v="50000"/>
    <n v="0"/>
    <s v="Graduate Degree"/>
    <s v="Skilled Manual"/>
    <s v="Yes"/>
    <n v="0"/>
    <s v="0-1 Miles"/>
    <x v="0"/>
    <n v="37"/>
    <x v="1"/>
    <m/>
    <n v="4166.666666666667"/>
    <s v="No"/>
    <m/>
  </r>
  <r>
    <n v="17504"/>
    <s v="S"/>
    <s v="F"/>
    <n v="80000"/>
    <n v="2"/>
    <s v="Partial College"/>
    <s v="Skilled Manual"/>
    <s v="Yes"/>
    <n v="2"/>
    <s v="5-10 Miles"/>
    <x v="1"/>
    <n v="52"/>
    <x v="1"/>
    <m/>
    <n v="6666.666666666667"/>
    <s v="Yes"/>
    <m/>
  </r>
  <r>
    <n v="12253"/>
    <s v="S"/>
    <s v="F"/>
    <n v="20000"/>
    <n v="0"/>
    <s v="Partial College"/>
    <s v="Manual"/>
    <s v="Yes"/>
    <n v="0"/>
    <s v="0-1 Miles"/>
    <x v="1"/>
    <n v="29"/>
    <x v="1"/>
    <m/>
    <n v="1666.6666666666667"/>
    <s v="No"/>
    <m/>
  </r>
  <r>
    <n v="27304"/>
    <s v="S"/>
    <s v="F"/>
    <n v="110000"/>
    <n v="2"/>
    <s v="Partial College"/>
    <s v="Professional"/>
    <s v="No"/>
    <n v="3"/>
    <s v="5-10 Miles"/>
    <x v="0"/>
    <n v="48"/>
    <x v="0"/>
    <m/>
    <n v="9166.6666666666661"/>
    <s v="Yes"/>
    <s v=""/>
  </r>
  <r>
    <n v="14191"/>
    <s v="M"/>
    <s v="M"/>
    <n v="160000"/>
    <n v="4"/>
    <s v="Partial College"/>
    <s v="Professional"/>
    <s v="No"/>
    <n v="2"/>
    <s v="10+ Miles"/>
    <x v="0"/>
    <n v="55"/>
    <x v="1"/>
    <m/>
    <n v="13333.333333333334"/>
    <s v="Yes"/>
    <s v=""/>
  </r>
  <r>
    <n v="12212"/>
    <s v="M"/>
    <s v="F"/>
    <n v="10000"/>
    <n v="0"/>
    <s v="Graduate Degree"/>
    <s v="Manual"/>
    <s v="Yes"/>
    <n v="0"/>
    <s v="0-1 Miles"/>
    <x v="0"/>
    <n v="37"/>
    <x v="1"/>
    <m/>
    <n v="833.33333333333337"/>
    <s v="No"/>
    <m/>
  </r>
  <r>
    <n v="25529"/>
    <s v="S"/>
    <s v="M"/>
    <n v="10000"/>
    <n v="1"/>
    <s v="Graduate Degree"/>
    <s v="Manual"/>
    <s v="Yes"/>
    <n v="0"/>
    <s v="0-1 Miles"/>
    <x v="0"/>
    <n v="44"/>
    <x v="0"/>
    <m/>
    <n v="833.33333333333337"/>
    <s v="No"/>
    <m/>
  </r>
  <r>
    <n v="22170"/>
    <s v="M"/>
    <s v="F"/>
    <n v="30000"/>
    <n v="3"/>
    <s v="Partial College"/>
    <s v="Clerical"/>
    <s v="No"/>
    <n v="2"/>
    <s v="1-2 Miles"/>
    <x v="1"/>
    <n v="55"/>
    <x v="1"/>
    <m/>
    <n v="2500"/>
    <s v="No"/>
    <m/>
  </r>
  <r>
    <n v="19445"/>
    <s v="M"/>
    <s v="F"/>
    <n v="10000"/>
    <n v="2"/>
    <s v="High School"/>
    <s v="Manual"/>
    <s v="No"/>
    <n v="1"/>
    <s v="0-1 Miles"/>
    <x v="0"/>
    <n v="38"/>
    <x v="0"/>
    <m/>
    <n v="833.33333333333337"/>
    <s v="No"/>
    <m/>
  </r>
  <r>
    <n v="15265"/>
    <s v="S"/>
    <s v="M"/>
    <n v="40000"/>
    <n v="2"/>
    <s v="Bachelors"/>
    <s v="Management"/>
    <s v="Yes"/>
    <n v="2"/>
    <s v="5-10 Miles"/>
    <x v="1"/>
    <n v="66"/>
    <x v="1"/>
    <m/>
    <n v="3333.3333333333335"/>
    <s v="No"/>
    <m/>
  </r>
  <r>
    <n v="28918"/>
    <s v="M"/>
    <s v="F"/>
    <n v="130000"/>
    <n v="4"/>
    <s v="High School"/>
    <s v="Management"/>
    <s v="No"/>
    <n v="4"/>
    <s v="10+ Miles"/>
    <x v="0"/>
    <n v="58"/>
    <x v="0"/>
    <m/>
    <n v="10833.333333333334"/>
    <s v="Yes"/>
    <s v=""/>
  </r>
  <r>
    <n v="15799"/>
    <s v="M"/>
    <s v="F"/>
    <n v="90000"/>
    <n v="1"/>
    <s v="Bachelors"/>
    <s v="Professional"/>
    <s v="Yes"/>
    <n v="1"/>
    <s v="2-5 Miles"/>
    <x v="1"/>
    <n v="47"/>
    <x v="1"/>
    <m/>
    <n v="7500"/>
    <s v="Yes"/>
    <m/>
  </r>
  <r>
    <n v="11047"/>
    <s v="M"/>
    <s v="F"/>
    <n v="30000"/>
    <n v="3"/>
    <s v="High School"/>
    <s v="Skilled Manual"/>
    <s v="No"/>
    <n v="2"/>
    <s v="1-2 Miles"/>
    <x v="1"/>
    <n v="56"/>
    <x v="1"/>
    <m/>
    <n v="2500"/>
    <s v="No"/>
    <m/>
  </r>
  <r>
    <n v="18151"/>
    <s v="S"/>
    <s v="M"/>
    <n v="80000"/>
    <n v="5"/>
    <s v="Partial College"/>
    <s v="Professional"/>
    <s v="No"/>
    <n v="2"/>
    <s v="10+ Miles"/>
    <x v="0"/>
    <n v="59"/>
    <x v="0"/>
    <m/>
    <n v="6666.666666666667"/>
    <s v="Yes"/>
    <s v=""/>
  </r>
  <r>
    <n v="20606"/>
    <s v="M"/>
    <s v="F"/>
    <n v="70000"/>
    <n v="0"/>
    <s v="Bachelors"/>
    <s v="Professional"/>
    <s v="Yes"/>
    <n v="4"/>
    <s v="10+ Miles"/>
    <x v="1"/>
    <n v="32"/>
    <x v="1"/>
    <m/>
    <n v="5833.333333333333"/>
    <s v="Yes"/>
    <m/>
  </r>
  <r>
    <n v="19482"/>
    <s v="M"/>
    <s v="M"/>
    <n v="30000"/>
    <n v="1"/>
    <s v="Partial College"/>
    <s v="Clerical"/>
    <s v="Yes"/>
    <n v="1"/>
    <s v="0-1 Miles"/>
    <x v="0"/>
    <n v="44"/>
    <x v="1"/>
    <m/>
    <n v="2500"/>
    <s v="No"/>
    <m/>
  </r>
  <r>
    <n v="16489"/>
    <s v="M"/>
    <s v="M"/>
    <n v="30000"/>
    <n v="3"/>
    <s v="High School"/>
    <s v="Skilled Manual"/>
    <s v="Yes"/>
    <n v="2"/>
    <s v="5-10 Miles"/>
    <x v="1"/>
    <n v="55"/>
    <x v="0"/>
    <m/>
    <n v="2500"/>
    <s v="No"/>
    <m/>
  </r>
  <r>
    <n v="26944"/>
    <s v="S"/>
    <s v="M"/>
    <n v="90000"/>
    <n v="2"/>
    <s v="High School"/>
    <s v="Manual"/>
    <s v="Yes"/>
    <n v="0"/>
    <s v="0-1 Miles"/>
    <x v="0"/>
    <n v="36"/>
    <x v="1"/>
    <m/>
    <n v="7500"/>
    <s v="Yes"/>
    <m/>
  </r>
  <r>
    <n v="15682"/>
    <s v="S"/>
    <s v="F"/>
    <n v="80000"/>
    <n v="5"/>
    <s v="Bachelors"/>
    <s v="Management"/>
    <s v="Yes"/>
    <n v="2"/>
    <s v="10+ Miles"/>
    <x v="0"/>
    <n v="62"/>
    <x v="0"/>
    <m/>
    <n v="6666.666666666667"/>
    <s v="Yes"/>
    <s v=""/>
  </r>
  <r>
    <n v="26032"/>
    <s v="M"/>
    <s v="F"/>
    <n v="70000"/>
    <n v="5"/>
    <s v="Bachelors"/>
    <s v="Professional"/>
    <s v="Yes"/>
    <n v="4"/>
    <s v="10+ Miles"/>
    <x v="1"/>
    <n v="41"/>
    <x v="0"/>
    <m/>
    <n v="5833.333333333333"/>
    <s v="Yes"/>
    <m/>
  </r>
  <r>
    <n v="17843"/>
    <s v="S"/>
    <s v="F"/>
    <n v="10000"/>
    <n v="0"/>
    <s v="Partial High School"/>
    <s v="Manual"/>
    <s v="No"/>
    <n v="2"/>
    <s v="0-1 Miles"/>
    <x v="0"/>
    <n v="32"/>
    <x v="0"/>
    <m/>
    <n v="833.33333333333337"/>
    <s v="No"/>
    <s v=""/>
  </r>
  <r>
    <n v="25559"/>
    <s v="S"/>
    <s v="M"/>
    <n v="20000"/>
    <n v="0"/>
    <s v="Bachelors"/>
    <s v="Clerical"/>
    <s v="Yes"/>
    <n v="0"/>
    <s v="0-1 Miles"/>
    <x v="1"/>
    <n v="25"/>
    <x v="1"/>
    <m/>
    <n v="1666.6666666666667"/>
    <s v="No"/>
    <m/>
  </r>
  <r>
    <n v="16209"/>
    <s v="S"/>
    <s v="F"/>
    <n v="50000"/>
    <n v="0"/>
    <s v="Graduate Degree"/>
    <s v="Skilled Manual"/>
    <s v="Yes"/>
    <n v="0"/>
    <s v="1-2 Miles"/>
    <x v="0"/>
    <n v="36"/>
    <x v="0"/>
    <m/>
    <n v="4166.666666666667"/>
    <s v="No"/>
    <m/>
  </r>
  <r>
    <n v="11147"/>
    <s v="M"/>
    <s v="M"/>
    <n v="60000"/>
    <n v="2"/>
    <s v="Graduate Degree"/>
    <s v="Management"/>
    <s v="Yes"/>
    <n v="1"/>
    <s v="0-1 Miles"/>
    <x v="1"/>
    <n v="67"/>
    <x v="1"/>
    <m/>
    <n v="5000"/>
    <s v="No"/>
    <m/>
  </r>
  <r>
    <n v="15214"/>
    <s v="S"/>
    <s v="F"/>
    <n v="100000"/>
    <n v="0"/>
    <s v="Graduate Degree"/>
    <s v="Management"/>
    <s v="No"/>
    <n v="1"/>
    <s v="1-2 Miles"/>
    <x v="1"/>
    <n v="39"/>
    <x v="1"/>
    <m/>
    <n v="8333.3333333333339"/>
    <s v="Ye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096F0-67BD-41C9-82DD-698EA70A59C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9:B12" firstHeaderRow="1" firstDataRow="1" firstDataCol="1"/>
  <pivotFields count="17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165"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Purchased Bike" fld="1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29274-DA07-4643-B5A5-0D7D300A48B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7" firstHeaderRow="1" firstDataRow="1" firstDataCol="1"/>
  <pivotFields count="15">
    <pivotField showAll="0"/>
    <pivotField showAll="0"/>
    <pivotField showAll="0"/>
    <pivotField dataField="1" numFmtId="164" showAll="0"/>
    <pivotField showAll="0"/>
    <pivotField axis="axisRow" showAll="0" sortType="descending">
      <items count="6">
        <item x="0"/>
        <item x="4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</pivotFields>
  <rowFields count="1">
    <field x="5"/>
  </rowFields>
  <rowItems count="6">
    <i>
      <x/>
    </i>
    <i>
      <x v="2"/>
    </i>
    <i>
      <x v="3"/>
    </i>
    <i>
      <x v="1"/>
    </i>
    <i>
      <x v="4"/>
    </i>
    <i t="grand">
      <x/>
    </i>
  </rowItems>
  <colItems count="1">
    <i/>
  </colItems>
  <dataFields count="1">
    <dataField name="Average of Income" fld="3" subtotal="average" baseField="0" baseItem="0" numFmtId="164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03972-9ABA-4117-A5C2-625AD3B9C90C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4:B17" firstHeaderRow="1" firstDataRow="1" firstDataCol="1"/>
  <pivotFields count="17"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showAll="0"/>
    <pivotField showAll="0"/>
  </pivotFields>
  <rowFields count="1">
    <field x="12"/>
  </rowFields>
  <rowItems count="3">
    <i>
      <x v="1"/>
    </i>
    <i>
      <x/>
    </i>
    <i t="grand">
      <x/>
    </i>
  </rowItems>
  <colItems count="1">
    <i/>
  </colItems>
  <dataFields count="1">
    <dataField name="Average of Income" fld="3" subtotal="average" baseField="12" baseItem="0" numFmtId="164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activeCell="C11" sqref="C11"/>
    </sheetView>
  </sheetViews>
  <sheetFormatPr baseColWidth="10" defaultColWidth="14.5" defaultRowHeight="15" customHeight="1" x14ac:dyDescent="0.2"/>
  <cols>
    <col min="1" max="1" width="136" bestFit="1" customWidth="1"/>
    <col min="2" max="26" width="8.6640625" customWidth="1"/>
  </cols>
  <sheetData>
    <row r="1" spans="1:2" ht="14.25" customHeight="1" x14ac:dyDescent="0.25">
      <c r="A1" s="1" t="s">
        <v>0</v>
      </c>
    </row>
    <row r="2" spans="1:2" ht="14.25" customHeight="1" x14ac:dyDescent="0.2"/>
    <row r="3" spans="1:2" ht="14.25" customHeight="1" x14ac:dyDescent="0.25">
      <c r="A3" s="1" t="s">
        <v>1</v>
      </c>
    </row>
    <row r="4" spans="1:2" ht="14.25" customHeight="1" x14ac:dyDescent="0.2"/>
    <row r="5" spans="1:2" ht="14.25" customHeight="1" x14ac:dyDescent="0.25">
      <c r="A5" s="1" t="s">
        <v>2</v>
      </c>
    </row>
    <row r="6" spans="1:2" ht="14.25" customHeight="1" x14ac:dyDescent="0.2"/>
    <row r="7" spans="1:2" ht="14.25" customHeight="1" x14ac:dyDescent="0.2">
      <c r="A7" s="1" t="s">
        <v>3</v>
      </c>
    </row>
    <row r="8" spans="1:2" ht="14.25" customHeight="1" x14ac:dyDescent="0.2"/>
    <row r="9" spans="1:2" ht="14.25" customHeight="1" x14ac:dyDescent="0.2">
      <c r="A9" s="1" t="s">
        <v>4</v>
      </c>
    </row>
    <row r="10" spans="1:2" ht="14.25" customHeight="1" x14ac:dyDescent="0.2"/>
    <row r="11" spans="1:2" ht="14.25" customHeight="1" x14ac:dyDescent="0.2">
      <c r="A11" s="16" t="s">
        <v>53</v>
      </c>
      <c r="B11" s="17"/>
    </row>
    <row r="12" spans="1:2" ht="14.25" customHeight="1" x14ac:dyDescent="0.2"/>
    <row r="13" spans="1:2" ht="14.25" customHeight="1" x14ac:dyDescent="0.25">
      <c r="A13" s="1" t="s">
        <v>5</v>
      </c>
    </row>
    <row r="14" spans="1:2" ht="14.25" customHeight="1" x14ac:dyDescent="0.2"/>
    <row r="15" spans="1:2" ht="14.25" customHeight="1" x14ac:dyDescent="0.2">
      <c r="A15" s="1" t="s">
        <v>6</v>
      </c>
    </row>
    <row r="16" spans="1:2" ht="14.25" customHeight="1" x14ac:dyDescent="0.2">
      <c r="A16" s="2"/>
    </row>
    <row r="17" spans="1:1" ht="14.25" customHeight="1" x14ac:dyDescent="0.2">
      <c r="A17" s="3" t="s">
        <v>7</v>
      </c>
    </row>
    <row r="18" spans="1:1" ht="14.25" customHeight="1" x14ac:dyDescent="0.2">
      <c r="A18" s="2"/>
    </row>
    <row r="19" spans="1:1" ht="14.25" customHeight="1" x14ac:dyDescent="0.2">
      <c r="A19" s="3" t="s">
        <v>8</v>
      </c>
    </row>
    <row r="20" spans="1:1" ht="14.25" customHeight="1" x14ac:dyDescent="0.2">
      <c r="A20" s="2"/>
    </row>
    <row r="21" spans="1:1" ht="14.25" customHeight="1" x14ac:dyDescent="0.2">
      <c r="A21" s="1" t="s">
        <v>9</v>
      </c>
    </row>
    <row r="22" spans="1:1" ht="14.25" customHeight="1" x14ac:dyDescent="0.2">
      <c r="A22" s="2"/>
    </row>
    <row r="23" spans="1:1" ht="14.25" customHeight="1" x14ac:dyDescent="0.2">
      <c r="A23" s="1" t="s">
        <v>10</v>
      </c>
    </row>
    <row r="24" spans="1:1" ht="14.25" customHeight="1" x14ac:dyDescent="0.2">
      <c r="A24" s="2"/>
    </row>
    <row r="25" spans="1:1" ht="14.25" customHeight="1" x14ac:dyDescent="0.2">
      <c r="A25" s="3" t="s">
        <v>11</v>
      </c>
    </row>
    <row r="26" spans="1:1" ht="14.25" customHeight="1" x14ac:dyDescent="0.2">
      <c r="A26" s="2"/>
    </row>
    <row r="27" spans="1:1" ht="14.25" customHeight="1" x14ac:dyDescent="0.2">
      <c r="A27" s="2"/>
    </row>
    <row r="28" spans="1:1" ht="14.25" customHeight="1" x14ac:dyDescent="0.2"/>
    <row r="29" spans="1:1" ht="14.25" customHeight="1" x14ac:dyDescent="0.2"/>
    <row r="30" spans="1:1" ht="14.25" customHeight="1" x14ac:dyDescent="0.2"/>
    <row r="31" spans="1:1" ht="14.25" customHeight="1" x14ac:dyDescent="0.2"/>
    <row r="32" spans="1:1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0"/>
  <sheetViews>
    <sheetView workbookViewId="0">
      <selection activeCell="S10" sqref="S10"/>
    </sheetView>
  </sheetViews>
  <sheetFormatPr baseColWidth="10" defaultColWidth="14.5" defaultRowHeight="15" customHeight="1" x14ac:dyDescent="0.2"/>
  <cols>
    <col min="1" max="5" width="11.83203125" customWidth="1"/>
    <col min="6" max="6" width="17.33203125" customWidth="1"/>
    <col min="7" max="7" width="12.6640625" customWidth="1"/>
    <col min="8" max="9" width="11.83203125" customWidth="1"/>
    <col min="10" max="10" width="23.6640625" customWidth="1"/>
    <col min="11" max="12" width="11.83203125" customWidth="1"/>
    <col min="13" max="13" width="15.5" customWidth="1"/>
    <col min="14" max="14" width="16" bestFit="1" customWidth="1"/>
    <col min="15" max="15" width="15.5" style="22" bestFit="1" customWidth="1"/>
    <col min="16" max="16" width="11.83203125" customWidth="1"/>
    <col min="17" max="17" width="15" bestFit="1" customWidth="1"/>
    <col min="18" max="18" width="11.83203125" customWidth="1"/>
    <col min="19" max="19" width="41.5" bestFit="1" customWidth="1"/>
    <col min="20" max="23" width="11.83203125" customWidth="1"/>
  </cols>
  <sheetData>
    <row r="1" spans="1:24" ht="14.25" customHeight="1" x14ac:dyDescent="0.2">
      <c r="A1" s="15" t="s">
        <v>12</v>
      </c>
      <c r="B1" s="15" t="s">
        <v>13</v>
      </c>
      <c r="C1" s="15" t="s">
        <v>14</v>
      </c>
      <c r="D1" s="15" t="s">
        <v>15</v>
      </c>
      <c r="E1" s="15" t="s">
        <v>16</v>
      </c>
      <c r="F1" s="15" t="s">
        <v>17</v>
      </c>
      <c r="G1" s="15" t="s">
        <v>18</v>
      </c>
      <c r="H1" s="15" t="s">
        <v>19</v>
      </c>
      <c r="I1" s="15" t="s">
        <v>20</v>
      </c>
      <c r="J1" s="15" t="s">
        <v>21</v>
      </c>
      <c r="K1" s="15" t="s">
        <v>22</v>
      </c>
      <c r="L1" s="15" t="s">
        <v>23</v>
      </c>
      <c r="M1" s="15" t="s">
        <v>24</v>
      </c>
      <c r="N1" s="15" t="s">
        <v>25</v>
      </c>
      <c r="O1" s="21" t="s">
        <v>48</v>
      </c>
      <c r="P1" s="15" t="s">
        <v>52</v>
      </c>
      <c r="Q1" s="15" t="s">
        <v>57</v>
      </c>
      <c r="S1" s="28" t="s">
        <v>68</v>
      </c>
      <c r="T1" s="28" t="s">
        <v>69</v>
      </c>
      <c r="V1" s="28" t="s">
        <v>67</v>
      </c>
    </row>
    <row r="2" spans="1:24" ht="14.25" customHeight="1" x14ac:dyDescent="0.2">
      <c r="A2" s="4">
        <v>12496</v>
      </c>
      <c r="B2" s="4" t="s">
        <v>26</v>
      </c>
      <c r="C2" s="4" t="s">
        <v>27</v>
      </c>
      <c r="D2" s="5">
        <v>40000</v>
      </c>
      <c r="E2" s="4">
        <v>1</v>
      </c>
      <c r="F2" s="4" t="s">
        <v>28</v>
      </c>
      <c r="G2" s="4" t="s">
        <v>29</v>
      </c>
      <c r="H2" s="4" t="s">
        <v>30</v>
      </c>
      <c r="I2" s="4">
        <v>0</v>
      </c>
      <c r="J2" s="4" t="s">
        <v>31</v>
      </c>
      <c r="K2" s="4" t="s">
        <v>32</v>
      </c>
      <c r="L2" s="4">
        <v>42</v>
      </c>
      <c r="M2" s="4" t="s">
        <v>33</v>
      </c>
      <c r="O2" s="22">
        <f>D2/12</f>
        <v>3333.3333333333335</v>
      </c>
      <c r="P2" t="str">
        <f>IF(D2&gt;=70000,"Yes",IF(bike_buyers!D2&lt;=70000,"No"))</f>
        <v>No</v>
      </c>
      <c r="Q2" t="str">
        <f>IF(AND(D1&gt;70000, L1&lt;40, M1="No"),"Yes", "")</f>
        <v/>
      </c>
      <c r="S2" s="26" t="s">
        <v>58</v>
      </c>
      <c r="T2" s="26">
        <v>39</v>
      </c>
      <c r="V2" s="26" t="s">
        <v>23</v>
      </c>
      <c r="W2" s="26" t="s">
        <v>15</v>
      </c>
      <c r="X2" s="26" t="s">
        <v>24</v>
      </c>
    </row>
    <row r="3" spans="1:24" ht="14.25" customHeight="1" x14ac:dyDescent="0.2">
      <c r="A3" s="4">
        <v>24107</v>
      </c>
      <c r="B3" s="4" t="s">
        <v>26</v>
      </c>
      <c r="C3" s="4" t="s">
        <v>26</v>
      </c>
      <c r="D3" s="5">
        <v>30000</v>
      </c>
      <c r="E3" s="4">
        <v>3</v>
      </c>
      <c r="F3" s="4" t="s">
        <v>34</v>
      </c>
      <c r="G3" s="4" t="s">
        <v>35</v>
      </c>
      <c r="H3" s="4" t="s">
        <v>30</v>
      </c>
      <c r="I3" s="4">
        <v>1</v>
      </c>
      <c r="J3" s="4" t="s">
        <v>31</v>
      </c>
      <c r="K3" s="4" t="s">
        <v>32</v>
      </c>
      <c r="L3" s="4">
        <v>43</v>
      </c>
      <c r="M3" s="4" t="s">
        <v>33</v>
      </c>
      <c r="O3" s="22">
        <f t="shared" ref="O3:O66" si="0">D3/12</f>
        <v>2500</v>
      </c>
      <c r="P3" t="str">
        <f>IF(D3&gt;=70000,"Yes",IF(bike_buyers!D3&lt;=70000,"No"))</f>
        <v>No</v>
      </c>
      <c r="Q3" t="str">
        <f>IF(AND(D2&gt;70000, L2&lt;40, M2="No"),"Yes", "")</f>
        <v/>
      </c>
      <c r="S3" s="26" t="s">
        <v>59</v>
      </c>
      <c r="T3" s="26">
        <f>COUNTIF(C:C,"M")</f>
        <v>99</v>
      </c>
      <c r="V3" s="26" t="s">
        <v>61</v>
      </c>
      <c r="W3" s="26" t="s">
        <v>62</v>
      </c>
      <c r="X3" s="26" t="s">
        <v>33</v>
      </c>
    </row>
    <row r="4" spans="1:24" ht="14.25" customHeight="1" x14ac:dyDescent="0.2">
      <c r="A4" s="4">
        <v>14177</v>
      </c>
      <c r="B4" s="4" t="s">
        <v>26</v>
      </c>
      <c r="C4" s="4" t="s">
        <v>26</v>
      </c>
      <c r="D4" s="5">
        <v>80000</v>
      </c>
      <c r="E4" s="4">
        <v>5</v>
      </c>
      <c r="F4" s="4" t="s">
        <v>34</v>
      </c>
      <c r="G4" s="4" t="s">
        <v>36</v>
      </c>
      <c r="H4" s="4" t="s">
        <v>33</v>
      </c>
      <c r="I4" s="4">
        <v>2</v>
      </c>
      <c r="J4" s="4" t="s">
        <v>37</v>
      </c>
      <c r="K4" s="4" t="s">
        <v>32</v>
      </c>
      <c r="L4" s="4">
        <v>60</v>
      </c>
      <c r="M4" s="4" t="s">
        <v>33</v>
      </c>
      <c r="O4" s="22">
        <f t="shared" si="0"/>
        <v>6666.666666666667</v>
      </c>
      <c r="P4" t="str">
        <f>IF(D4&gt;=70000,"Yes",IF(bike_buyers!D4&lt;=70000,"No"))</f>
        <v>Yes</v>
      </c>
      <c r="Q4" t="str">
        <f t="shared" ref="Q4:Q67" si="1">IF(AND(D3&gt;70000, L3&lt;40, M3="No"),"Yes", "")</f>
        <v/>
      </c>
      <c r="S4" s="26" t="s">
        <v>60</v>
      </c>
      <c r="T4" s="26">
        <f>COUNTIF(C:C,"F")</f>
        <v>100</v>
      </c>
    </row>
    <row r="5" spans="1:24" ht="14.25" customHeight="1" x14ac:dyDescent="0.2">
      <c r="A5" s="4">
        <v>24381</v>
      </c>
      <c r="B5" s="4" t="s">
        <v>38</v>
      </c>
      <c r="C5" s="4" t="s">
        <v>26</v>
      </c>
      <c r="D5" s="5">
        <v>70000</v>
      </c>
      <c r="E5" s="4">
        <v>0</v>
      </c>
      <c r="F5" s="4" t="s">
        <v>28</v>
      </c>
      <c r="G5" s="4" t="s">
        <v>36</v>
      </c>
      <c r="H5" s="4" t="s">
        <v>30</v>
      </c>
      <c r="I5" s="4">
        <v>1</v>
      </c>
      <c r="J5" s="4" t="s">
        <v>39</v>
      </c>
      <c r="K5" s="4" t="s">
        <v>40</v>
      </c>
      <c r="L5" s="4">
        <v>41</v>
      </c>
      <c r="M5" s="4" t="s">
        <v>30</v>
      </c>
      <c r="O5" s="22">
        <f t="shared" si="0"/>
        <v>5833.333333333333</v>
      </c>
      <c r="P5" t="str">
        <f>IF(D5&gt;=70000,"Yes",IF(bike_buyers!D5&lt;=70000,"No"))</f>
        <v>Yes</v>
      </c>
      <c r="Q5" t="str">
        <f>IF(AND(D4&gt;70000, L4&lt;40, M4="No"),"Yes", "")</f>
        <v/>
      </c>
      <c r="S5" s="25" t="s">
        <v>64</v>
      </c>
      <c r="T5" s="27">
        <f>INDEX(D:D,MATCH(15214,A:A,0))</f>
        <v>100000</v>
      </c>
    </row>
    <row r="6" spans="1:24" ht="14.25" customHeight="1" x14ac:dyDescent="0.2">
      <c r="A6" s="4">
        <v>25597</v>
      </c>
      <c r="B6" s="4" t="s">
        <v>38</v>
      </c>
      <c r="C6" s="4" t="s">
        <v>26</v>
      </c>
      <c r="D6" s="5">
        <v>30000</v>
      </c>
      <c r="E6" s="4">
        <v>0</v>
      </c>
      <c r="F6" s="4" t="s">
        <v>28</v>
      </c>
      <c r="G6" s="4" t="s">
        <v>35</v>
      </c>
      <c r="H6" s="4" t="s">
        <v>33</v>
      </c>
      <c r="I6" s="4">
        <v>0</v>
      </c>
      <c r="J6" s="4" t="s">
        <v>31</v>
      </c>
      <c r="K6" s="4" t="s">
        <v>32</v>
      </c>
      <c r="L6" s="4">
        <v>36</v>
      </c>
      <c r="M6" s="4" t="s">
        <v>30</v>
      </c>
      <c r="O6" s="22">
        <f t="shared" si="0"/>
        <v>2500</v>
      </c>
      <c r="P6" t="str">
        <f>IF(D6&gt;=70000,"Yes",IF(bike_buyers!D6&lt;=70000,"No"))</f>
        <v>No</v>
      </c>
      <c r="Q6" t="str">
        <f t="shared" si="1"/>
        <v/>
      </c>
      <c r="S6" s="25" t="s">
        <v>65</v>
      </c>
      <c r="T6" s="26">
        <f>COUNTIF(M:M, "Yes")</f>
        <v>105</v>
      </c>
    </row>
    <row r="7" spans="1:24" ht="14.25" customHeight="1" x14ac:dyDescent="0.2">
      <c r="A7" s="4">
        <v>13507</v>
      </c>
      <c r="B7" s="4" t="s">
        <v>26</v>
      </c>
      <c r="C7" s="4" t="s">
        <v>27</v>
      </c>
      <c r="D7" s="5">
        <v>10000</v>
      </c>
      <c r="E7" s="4">
        <v>2</v>
      </c>
      <c r="F7" s="4" t="s">
        <v>34</v>
      </c>
      <c r="G7" s="4" t="s">
        <v>41</v>
      </c>
      <c r="H7" s="4" t="s">
        <v>30</v>
      </c>
      <c r="I7" s="4">
        <v>0</v>
      </c>
      <c r="J7" s="4" t="s">
        <v>42</v>
      </c>
      <c r="K7" s="4" t="s">
        <v>32</v>
      </c>
      <c r="L7" s="4">
        <v>50</v>
      </c>
      <c r="M7" s="4" t="s">
        <v>33</v>
      </c>
      <c r="O7" s="22">
        <f t="shared" si="0"/>
        <v>833.33333333333337</v>
      </c>
      <c r="P7" t="str">
        <f>IF(D7&gt;=70000,"Yes",IF(bike_buyers!D7&lt;=70000,"No"))</f>
        <v>No</v>
      </c>
      <c r="Q7" t="str">
        <f t="shared" si="1"/>
        <v/>
      </c>
      <c r="S7" s="25" t="s">
        <v>66</v>
      </c>
      <c r="T7" s="26">
        <f>VLOOKUP(A22,A:L,12,0)</f>
        <v>36</v>
      </c>
    </row>
    <row r="8" spans="1:24" ht="14.25" customHeight="1" x14ac:dyDescent="0.2">
      <c r="A8" s="6">
        <v>27974</v>
      </c>
      <c r="B8" s="6" t="s">
        <v>38</v>
      </c>
      <c r="C8" s="6" t="s">
        <v>26</v>
      </c>
      <c r="D8" s="7">
        <v>160000</v>
      </c>
      <c r="E8" s="6">
        <v>2</v>
      </c>
      <c r="F8" s="6" t="s">
        <v>43</v>
      </c>
      <c r="G8" s="6" t="s">
        <v>44</v>
      </c>
      <c r="H8" s="6" t="s">
        <v>30</v>
      </c>
      <c r="I8" s="6">
        <v>4</v>
      </c>
      <c r="J8" s="6" t="s">
        <v>31</v>
      </c>
      <c r="K8" s="6" t="s">
        <v>40</v>
      </c>
      <c r="L8" s="6">
        <v>33</v>
      </c>
      <c r="M8" s="6" t="s">
        <v>30</v>
      </c>
      <c r="N8" s="8"/>
      <c r="O8" s="23">
        <f t="shared" si="0"/>
        <v>13333.333333333334</v>
      </c>
      <c r="P8" t="str">
        <f>IF(D8&gt;=70000,"Yes",IF(bike_buyers!D8&lt;=70000,"No"))</f>
        <v>Yes</v>
      </c>
      <c r="Q8" t="str">
        <f t="shared" si="1"/>
        <v/>
      </c>
    </row>
    <row r="9" spans="1:24" ht="14.25" customHeight="1" x14ac:dyDescent="0.2">
      <c r="A9" s="4">
        <v>19364</v>
      </c>
      <c r="B9" s="4" t="s">
        <v>26</v>
      </c>
      <c r="C9" s="4" t="s">
        <v>26</v>
      </c>
      <c r="D9" s="5">
        <v>40000</v>
      </c>
      <c r="E9" s="4">
        <v>1</v>
      </c>
      <c r="F9" s="4" t="s">
        <v>28</v>
      </c>
      <c r="G9" s="4" t="s">
        <v>29</v>
      </c>
      <c r="H9" s="4" t="s">
        <v>30</v>
      </c>
      <c r="I9" s="4">
        <v>0</v>
      </c>
      <c r="J9" s="4" t="s">
        <v>31</v>
      </c>
      <c r="K9" s="4" t="s">
        <v>32</v>
      </c>
      <c r="L9" s="4">
        <v>43</v>
      </c>
      <c r="M9" s="4" t="s">
        <v>30</v>
      </c>
      <c r="O9" s="22">
        <f t="shared" si="0"/>
        <v>3333.3333333333335</v>
      </c>
      <c r="P9" t="str">
        <f>IF(D9&gt;=70000,"Yes",IF(bike_buyers!D9&lt;=70000,"No"))</f>
        <v>No</v>
      </c>
      <c r="Q9" t="str">
        <f t="shared" si="1"/>
        <v/>
      </c>
    </row>
    <row r="10" spans="1:24" ht="14.25" customHeight="1" x14ac:dyDescent="0.2">
      <c r="A10" s="4">
        <v>22155</v>
      </c>
      <c r="B10" s="4" t="s">
        <v>26</v>
      </c>
      <c r="C10" s="4" t="s">
        <v>26</v>
      </c>
      <c r="D10" s="5">
        <v>20000</v>
      </c>
      <c r="E10" s="4">
        <v>2</v>
      </c>
      <c r="F10" s="4" t="s">
        <v>45</v>
      </c>
      <c r="G10" s="4" t="s">
        <v>35</v>
      </c>
      <c r="H10" s="4" t="s">
        <v>30</v>
      </c>
      <c r="I10" s="4">
        <v>2</v>
      </c>
      <c r="J10" s="4" t="s">
        <v>39</v>
      </c>
      <c r="K10" s="4" t="s">
        <v>40</v>
      </c>
      <c r="L10" s="4">
        <v>58</v>
      </c>
      <c r="M10" s="4" t="s">
        <v>33</v>
      </c>
      <c r="O10" s="22">
        <f t="shared" si="0"/>
        <v>1666.6666666666667</v>
      </c>
      <c r="P10" t="str">
        <f>IF(D10&gt;=70000,"Yes",IF(bike_buyers!D10&lt;=70000,"No"))</f>
        <v>No</v>
      </c>
      <c r="Q10" t="str">
        <f t="shared" si="1"/>
        <v/>
      </c>
    </row>
    <row r="11" spans="1:24" ht="14.25" customHeight="1" x14ac:dyDescent="0.2">
      <c r="A11" s="6">
        <v>19280</v>
      </c>
      <c r="B11" s="6" t="s">
        <v>26</v>
      </c>
      <c r="C11" s="6" t="s">
        <v>26</v>
      </c>
      <c r="D11" s="7">
        <v>120000</v>
      </c>
      <c r="E11" s="6">
        <v>2</v>
      </c>
      <c r="F11" s="6" t="s">
        <v>34</v>
      </c>
      <c r="G11" s="6" t="s">
        <v>41</v>
      </c>
      <c r="H11" s="6" t="s">
        <v>30</v>
      </c>
      <c r="I11" s="6">
        <v>1</v>
      </c>
      <c r="J11" s="6" t="s">
        <v>31</v>
      </c>
      <c r="K11" s="6" t="s">
        <v>32</v>
      </c>
      <c r="L11" s="6">
        <v>40</v>
      </c>
      <c r="M11" s="6" t="s">
        <v>30</v>
      </c>
      <c r="N11" s="8"/>
      <c r="O11" s="23">
        <f t="shared" si="0"/>
        <v>10000</v>
      </c>
      <c r="P11" t="str">
        <f>IF(D11&gt;=70000,"Yes",IF(bike_buyers!D11&lt;=70000,"No"))</f>
        <v>Yes</v>
      </c>
      <c r="Q11" t="str">
        <f t="shared" si="1"/>
        <v/>
      </c>
    </row>
    <row r="12" spans="1:24" ht="14.25" customHeight="1" x14ac:dyDescent="0.2">
      <c r="A12" s="4">
        <v>22173</v>
      </c>
      <c r="B12" s="4" t="s">
        <v>26</v>
      </c>
      <c r="C12" s="4" t="s">
        <v>27</v>
      </c>
      <c r="D12" s="5">
        <v>30000</v>
      </c>
      <c r="E12" s="4">
        <v>3</v>
      </c>
      <c r="F12" s="4" t="s">
        <v>43</v>
      </c>
      <c r="G12" s="4" t="s">
        <v>29</v>
      </c>
      <c r="H12" s="4" t="s">
        <v>33</v>
      </c>
      <c r="I12" s="4">
        <v>2</v>
      </c>
      <c r="J12" s="4" t="s">
        <v>42</v>
      </c>
      <c r="K12" s="4" t="s">
        <v>40</v>
      </c>
      <c r="L12" s="4">
        <v>54</v>
      </c>
      <c r="M12" s="4" t="s">
        <v>30</v>
      </c>
      <c r="O12" s="22">
        <f t="shared" si="0"/>
        <v>2500</v>
      </c>
      <c r="P12" t="str">
        <f>IF(D12&gt;=70000,"Yes",IF(bike_buyers!D12&lt;=70000,"No"))</f>
        <v>No</v>
      </c>
      <c r="Q12" t="str">
        <f t="shared" si="1"/>
        <v/>
      </c>
    </row>
    <row r="13" spans="1:24" ht="14.25" customHeight="1" x14ac:dyDescent="0.2">
      <c r="A13" s="6">
        <v>12697</v>
      </c>
      <c r="B13" s="6" t="s">
        <v>38</v>
      </c>
      <c r="C13" s="6" t="s">
        <v>27</v>
      </c>
      <c r="D13" s="7">
        <v>90000</v>
      </c>
      <c r="E13" s="6">
        <v>0</v>
      </c>
      <c r="F13" s="6" t="s">
        <v>28</v>
      </c>
      <c r="G13" s="6" t="s">
        <v>36</v>
      </c>
      <c r="H13" s="6" t="s">
        <v>33</v>
      </c>
      <c r="I13" s="6">
        <v>4</v>
      </c>
      <c r="J13" s="6" t="s">
        <v>46</v>
      </c>
      <c r="K13" s="6" t="s">
        <v>40</v>
      </c>
      <c r="L13" s="6">
        <v>36</v>
      </c>
      <c r="M13" s="6" t="s">
        <v>33</v>
      </c>
      <c r="N13" s="8"/>
      <c r="O13" s="23">
        <f t="shared" si="0"/>
        <v>7500</v>
      </c>
      <c r="P13" t="str">
        <f>IF(D13&gt;=70000,"Yes",IF(bike_buyers!D13&lt;=70000,"No"))</f>
        <v>Yes</v>
      </c>
      <c r="Q13" t="str">
        <f t="shared" si="1"/>
        <v/>
      </c>
    </row>
    <row r="14" spans="1:24" ht="14.25" customHeight="1" x14ac:dyDescent="0.2">
      <c r="A14" s="6">
        <v>11434</v>
      </c>
      <c r="B14" s="6" t="s">
        <v>26</v>
      </c>
      <c r="C14" s="6" t="s">
        <v>26</v>
      </c>
      <c r="D14" s="7">
        <v>170000</v>
      </c>
      <c r="E14" s="6">
        <v>5</v>
      </c>
      <c r="F14" s="6" t="s">
        <v>34</v>
      </c>
      <c r="G14" s="6" t="s">
        <v>36</v>
      </c>
      <c r="H14" s="6" t="s">
        <v>30</v>
      </c>
      <c r="I14" s="6">
        <v>0</v>
      </c>
      <c r="J14" s="6" t="s">
        <v>31</v>
      </c>
      <c r="K14" s="6" t="s">
        <v>32</v>
      </c>
      <c r="L14" s="6">
        <v>55</v>
      </c>
      <c r="M14" s="6" t="s">
        <v>33</v>
      </c>
      <c r="N14" s="8"/>
      <c r="O14" s="23">
        <f t="shared" si="0"/>
        <v>14166.666666666666</v>
      </c>
      <c r="P14" t="str">
        <f>IF(D14&gt;=70000,"Yes",IF(bike_buyers!D14&lt;=70000,"No"))</f>
        <v>Yes</v>
      </c>
      <c r="Q14" t="str">
        <f t="shared" si="1"/>
        <v>Yes</v>
      </c>
    </row>
    <row r="15" spans="1:24" ht="14.25" customHeight="1" x14ac:dyDescent="0.2">
      <c r="A15" s="4">
        <v>25323</v>
      </c>
      <c r="B15" s="4" t="s">
        <v>26</v>
      </c>
      <c r="C15" s="4" t="s">
        <v>26</v>
      </c>
      <c r="D15" s="5">
        <v>40000</v>
      </c>
      <c r="E15" s="4">
        <v>2</v>
      </c>
      <c r="F15" s="4" t="s">
        <v>34</v>
      </c>
      <c r="G15" s="4" t="s">
        <v>35</v>
      </c>
      <c r="H15" s="4" t="s">
        <v>30</v>
      </c>
      <c r="I15" s="4">
        <v>1</v>
      </c>
      <c r="J15" s="4" t="s">
        <v>42</v>
      </c>
      <c r="K15" s="4" t="s">
        <v>32</v>
      </c>
      <c r="L15" s="4">
        <v>35</v>
      </c>
      <c r="M15" s="4" t="s">
        <v>30</v>
      </c>
      <c r="O15" s="22">
        <f t="shared" si="0"/>
        <v>3333.3333333333335</v>
      </c>
      <c r="P15" t="str">
        <f>IF(D15&gt;=70000,"Yes",IF(bike_buyers!D15&lt;=70000,"No"))</f>
        <v>No</v>
      </c>
      <c r="Q15" t="str">
        <f t="shared" si="1"/>
        <v/>
      </c>
    </row>
    <row r="16" spans="1:24" ht="14.25" customHeight="1" x14ac:dyDescent="0.2">
      <c r="A16" s="4">
        <v>23542</v>
      </c>
      <c r="B16" s="4" t="s">
        <v>38</v>
      </c>
      <c r="C16" s="4" t="s">
        <v>26</v>
      </c>
      <c r="D16" s="5">
        <v>60000</v>
      </c>
      <c r="E16" s="4">
        <v>1</v>
      </c>
      <c r="F16" s="4" t="s">
        <v>34</v>
      </c>
      <c r="G16" s="4" t="s">
        <v>29</v>
      </c>
      <c r="H16" s="4" t="s">
        <v>33</v>
      </c>
      <c r="I16" s="4">
        <v>1</v>
      </c>
      <c r="J16" s="4" t="s">
        <v>31</v>
      </c>
      <c r="K16" s="4" t="s">
        <v>40</v>
      </c>
      <c r="L16" s="4">
        <v>45</v>
      </c>
      <c r="M16" s="4" t="s">
        <v>30</v>
      </c>
      <c r="O16" s="22">
        <f t="shared" si="0"/>
        <v>5000</v>
      </c>
      <c r="P16" t="str">
        <f>IF(D16&gt;=70000,"Yes",IF(bike_buyers!D16&lt;=70000,"No"))</f>
        <v>No</v>
      </c>
      <c r="Q16" t="str">
        <f t="shared" si="1"/>
        <v/>
      </c>
    </row>
    <row r="17" spans="1:17" ht="14.25" customHeight="1" x14ac:dyDescent="0.2">
      <c r="A17" s="4">
        <v>20870</v>
      </c>
      <c r="B17" s="4" t="s">
        <v>38</v>
      </c>
      <c r="C17" s="4" t="s">
        <v>27</v>
      </c>
      <c r="D17" s="5">
        <v>10000</v>
      </c>
      <c r="E17" s="4">
        <v>2</v>
      </c>
      <c r="F17" s="4" t="s">
        <v>43</v>
      </c>
      <c r="G17" s="4" t="s">
        <v>41</v>
      </c>
      <c r="H17" s="4" t="s">
        <v>30</v>
      </c>
      <c r="I17" s="4">
        <v>1</v>
      </c>
      <c r="J17" s="4" t="s">
        <v>31</v>
      </c>
      <c r="K17" s="4" t="s">
        <v>32</v>
      </c>
      <c r="L17" s="4">
        <v>38</v>
      </c>
      <c r="M17" s="4" t="s">
        <v>30</v>
      </c>
      <c r="O17" s="22">
        <f t="shared" si="0"/>
        <v>833.33333333333337</v>
      </c>
      <c r="P17" t="str">
        <f>IF(D17&gt;=70000,"Yes",IF(bike_buyers!D17&lt;=70000,"No"))</f>
        <v>No</v>
      </c>
      <c r="Q17" t="str">
        <f t="shared" si="1"/>
        <v/>
      </c>
    </row>
    <row r="18" spans="1:17" ht="14.25" customHeight="1" x14ac:dyDescent="0.2">
      <c r="A18" s="4">
        <v>23316</v>
      </c>
      <c r="B18" s="4" t="s">
        <v>38</v>
      </c>
      <c r="C18" s="4" t="s">
        <v>26</v>
      </c>
      <c r="D18" s="5">
        <v>30000</v>
      </c>
      <c r="E18" s="4">
        <v>3</v>
      </c>
      <c r="F18" s="4" t="s">
        <v>34</v>
      </c>
      <c r="G18" s="4" t="s">
        <v>35</v>
      </c>
      <c r="H18" s="4" t="s">
        <v>33</v>
      </c>
      <c r="I18" s="4">
        <v>2</v>
      </c>
      <c r="J18" s="4" t="s">
        <v>42</v>
      </c>
      <c r="K18" s="4" t="s">
        <v>40</v>
      </c>
      <c r="L18" s="4">
        <v>59</v>
      </c>
      <c r="M18" s="4" t="s">
        <v>30</v>
      </c>
      <c r="O18" s="22">
        <f t="shared" si="0"/>
        <v>2500</v>
      </c>
      <c r="P18" t="str">
        <f>IF(D18&gt;=70000,"Yes",IF(bike_buyers!D18&lt;=70000,"No"))</f>
        <v>No</v>
      </c>
      <c r="Q18" t="str">
        <f t="shared" si="1"/>
        <v/>
      </c>
    </row>
    <row r="19" spans="1:17" ht="14.25" customHeight="1" x14ac:dyDescent="0.2">
      <c r="A19" s="4">
        <v>12610</v>
      </c>
      <c r="B19" s="4" t="s">
        <v>26</v>
      </c>
      <c r="C19" s="4" t="s">
        <v>27</v>
      </c>
      <c r="D19" s="5">
        <v>30000</v>
      </c>
      <c r="E19" s="4">
        <v>1</v>
      </c>
      <c r="F19" s="4" t="s">
        <v>28</v>
      </c>
      <c r="G19" s="4" t="s">
        <v>35</v>
      </c>
      <c r="H19" s="4" t="s">
        <v>30</v>
      </c>
      <c r="I19" s="4">
        <v>0</v>
      </c>
      <c r="J19" s="4" t="s">
        <v>31</v>
      </c>
      <c r="K19" s="4" t="s">
        <v>32</v>
      </c>
      <c r="L19" s="4">
        <v>47</v>
      </c>
      <c r="M19" s="4" t="s">
        <v>33</v>
      </c>
      <c r="O19" s="22">
        <f t="shared" si="0"/>
        <v>2500</v>
      </c>
      <c r="P19" t="str">
        <f>IF(D19&gt;=70000,"Yes",IF(bike_buyers!D19&lt;=70000,"No"))</f>
        <v>No</v>
      </c>
      <c r="Q19" t="str">
        <f t="shared" si="1"/>
        <v/>
      </c>
    </row>
    <row r="20" spans="1:17" ht="14.25" customHeight="1" x14ac:dyDescent="0.2">
      <c r="A20" s="4">
        <v>27183</v>
      </c>
      <c r="B20" s="4" t="s">
        <v>38</v>
      </c>
      <c r="C20" s="4" t="s">
        <v>26</v>
      </c>
      <c r="D20" s="5">
        <v>40000</v>
      </c>
      <c r="E20" s="4">
        <v>2</v>
      </c>
      <c r="F20" s="4" t="s">
        <v>34</v>
      </c>
      <c r="G20" s="4" t="s">
        <v>35</v>
      </c>
      <c r="H20" s="4" t="s">
        <v>30</v>
      </c>
      <c r="I20" s="4">
        <v>1</v>
      </c>
      <c r="J20" s="4" t="s">
        <v>42</v>
      </c>
      <c r="K20" s="4" t="s">
        <v>32</v>
      </c>
      <c r="L20" s="4">
        <v>35</v>
      </c>
      <c r="M20" s="4" t="s">
        <v>30</v>
      </c>
      <c r="O20" s="22">
        <f t="shared" si="0"/>
        <v>3333.3333333333335</v>
      </c>
      <c r="P20" t="str">
        <f>IF(D20&gt;=70000,"Yes",IF(bike_buyers!D20&lt;=70000,"No"))</f>
        <v>No</v>
      </c>
      <c r="Q20" t="str">
        <f t="shared" si="1"/>
        <v/>
      </c>
    </row>
    <row r="21" spans="1:17" ht="14.25" customHeight="1" x14ac:dyDescent="0.2">
      <c r="A21" s="4">
        <v>25940</v>
      </c>
      <c r="B21" s="4" t="s">
        <v>38</v>
      </c>
      <c r="C21" s="4" t="s">
        <v>26</v>
      </c>
      <c r="D21" s="5">
        <v>20000</v>
      </c>
      <c r="E21" s="4">
        <v>2</v>
      </c>
      <c r="F21" s="4" t="s">
        <v>45</v>
      </c>
      <c r="G21" s="4" t="s">
        <v>35</v>
      </c>
      <c r="H21" s="4" t="s">
        <v>30</v>
      </c>
      <c r="I21" s="4">
        <v>2</v>
      </c>
      <c r="J21" s="4" t="s">
        <v>39</v>
      </c>
      <c r="K21" s="4" t="s">
        <v>40</v>
      </c>
      <c r="L21" s="4">
        <v>55</v>
      </c>
      <c r="M21" s="4" t="s">
        <v>30</v>
      </c>
      <c r="O21" s="22">
        <f t="shared" si="0"/>
        <v>1666.6666666666667</v>
      </c>
      <c r="P21" t="str">
        <f>IF(D21&gt;=70000,"Yes",IF(bike_buyers!D21&lt;=70000,"No"))</f>
        <v>No</v>
      </c>
      <c r="Q21" t="str">
        <f t="shared" si="1"/>
        <v/>
      </c>
    </row>
    <row r="22" spans="1:17" ht="14.25" customHeight="1" x14ac:dyDescent="0.2">
      <c r="A22" s="4">
        <v>25598</v>
      </c>
      <c r="B22" s="4" t="s">
        <v>26</v>
      </c>
      <c r="C22" s="4" t="s">
        <v>27</v>
      </c>
      <c r="D22" s="5">
        <v>40000</v>
      </c>
      <c r="E22" s="4">
        <v>0</v>
      </c>
      <c r="F22" s="4" t="s">
        <v>47</v>
      </c>
      <c r="G22" s="4" t="s">
        <v>35</v>
      </c>
      <c r="H22" s="4" t="s">
        <v>30</v>
      </c>
      <c r="I22" s="4">
        <v>0</v>
      </c>
      <c r="J22" s="4" t="s">
        <v>31</v>
      </c>
      <c r="K22" s="4" t="s">
        <v>32</v>
      </c>
      <c r="L22" s="4">
        <v>36</v>
      </c>
      <c r="M22" s="4" t="s">
        <v>30</v>
      </c>
      <c r="O22" s="22">
        <f t="shared" si="0"/>
        <v>3333.3333333333335</v>
      </c>
      <c r="P22" t="str">
        <f>IF(D22&gt;=70000,"Yes",IF(bike_buyers!D22&lt;=70000,"No"))</f>
        <v>No</v>
      </c>
      <c r="Q22" t="str">
        <f t="shared" si="1"/>
        <v/>
      </c>
    </row>
    <row r="23" spans="1:17" ht="14.25" customHeight="1" x14ac:dyDescent="0.2">
      <c r="A23" s="4">
        <v>21564</v>
      </c>
      <c r="B23" s="4" t="s">
        <v>38</v>
      </c>
      <c r="C23" s="4" t="s">
        <v>27</v>
      </c>
      <c r="D23" s="5">
        <v>80000</v>
      </c>
      <c r="E23" s="4">
        <v>0</v>
      </c>
      <c r="F23" s="4" t="s">
        <v>28</v>
      </c>
      <c r="G23" s="4" t="s">
        <v>36</v>
      </c>
      <c r="H23" s="4" t="s">
        <v>30</v>
      </c>
      <c r="I23" s="4">
        <v>4</v>
      </c>
      <c r="J23" s="4" t="s">
        <v>46</v>
      </c>
      <c r="K23" s="4" t="s">
        <v>40</v>
      </c>
      <c r="L23" s="4">
        <v>35</v>
      </c>
      <c r="M23" s="4" t="s">
        <v>33</v>
      </c>
      <c r="O23" s="22">
        <f t="shared" si="0"/>
        <v>6666.666666666667</v>
      </c>
      <c r="P23" t="str">
        <f>IF(D23&gt;=70000,"Yes",IF(bike_buyers!D23&lt;=70000,"No"))</f>
        <v>Yes</v>
      </c>
      <c r="Q23" t="str">
        <f t="shared" si="1"/>
        <v/>
      </c>
    </row>
    <row r="24" spans="1:17" ht="14.25" customHeight="1" x14ac:dyDescent="0.2">
      <c r="A24" s="4">
        <v>19193</v>
      </c>
      <c r="B24" s="4" t="s">
        <v>38</v>
      </c>
      <c r="C24" s="4" t="s">
        <v>26</v>
      </c>
      <c r="D24" s="5">
        <v>40000</v>
      </c>
      <c r="E24" s="4">
        <v>2</v>
      </c>
      <c r="F24" s="4" t="s">
        <v>34</v>
      </c>
      <c r="G24" s="4" t="s">
        <v>35</v>
      </c>
      <c r="H24" s="4" t="s">
        <v>30</v>
      </c>
      <c r="I24" s="4">
        <v>0</v>
      </c>
      <c r="J24" s="4" t="s">
        <v>42</v>
      </c>
      <c r="K24" s="4" t="s">
        <v>32</v>
      </c>
      <c r="L24" s="4">
        <v>35</v>
      </c>
      <c r="M24" s="4" t="s">
        <v>30</v>
      </c>
      <c r="O24" s="22">
        <f t="shared" si="0"/>
        <v>3333.3333333333335</v>
      </c>
      <c r="P24" t="str">
        <f>IF(D24&gt;=70000,"Yes",IF(bike_buyers!D24&lt;=70000,"No"))</f>
        <v>No</v>
      </c>
      <c r="Q24" t="str">
        <f t="shared" si="1"/>
        <v>Yes</v>
      </c>
    </row>
    <row r="25" spans="1:17" ht="14.25" customHeight="1" x14ac:dyDescent="0.2">
      <c r="A25" s="4">
        <v>26412</v>
      </c>
      <c r="B25" s="4" t="s">
        <v>26</v>
      </c>
      <c r="C25" s="4" t="s">
        <v>27</v>
      </c>
      <c r="D25" s="5">
        <v>80000</v>
      </c>
      <c r="E25" s="4">
        <v>5</v>
      </c>
      <c r="F25" s="4" t="s">
        <v>43</v>
      </c>
      <c r="G25" s="4" t="s">
        <v>44</v>
      </c>
      <c r="H25" s="4" t="s">
        <v>33</v>
      </c>
      <c r="I25" s="4">
        <v>3</v>
      </c>
      <c r="J25" s="4" t="s">
        <v>39</v>
      </c>
      <c r="K25" s="4" t="s">
        <v>32</v>
      </c>
      <c r="L25" s="4">
        <v>56</v>
      </c>
      <c r="M25" s="4" t="s">
        <v>33</v>
      </c>
      <c r="O25" s="22">
        <f t="shared" si="0"/>
        <v>6666.666666666667</v>
      </c>
      <c r="P25" t="str">
        <f>IF(D25&gt;=70000,"Yes",IF(bike_buyers!D25&lt;=70000,"No"))</f>
        <v>Yes</v>
      </c>
      <c r="Q25" t="str">
        <f t="shared" si="1"/>
        <v/>
      </c>
    </row>
    <row r="26" spans="1:17" ht="14.25" customHeight="1" x14ac:dyDescent="0.2">
      <c r="A26" s="4">
        <v>27184</v>
      </c>
      <c r="B26" s="4" t="s">
        <v>38</v>
      </c>
      <c r="C26" s="4" t="s">
        <v>26</v>
      </c>
      <c r="D26" s="5">
        <v>40000</v>
      </c>
      <c r="E26" s="4">
        <v>2</v>
      </c>
      <c r="F26" s="4" t="s">
        <v>34</v>
      </c>
      <c r="G26" s="4" t="s">
        <v>35</v>
      </c>
      <c r="H26" s="4" t="s">
        <v>33</v>
      </c>
      <c r="I26" s="4">
        <v>1</v>
      </c>
      <c r="J26" s="4" t="s">
        <v>31</v>
      </c>
      <c r="K26" s="4" t="s">
        <v>32</v>
      </c>
      <c r="L26" s="4">
        <v>34</v>
      </c>
      <c r="M26" s="4" t="s">
        <v>33</v>
      </c>
      <c r="O26" s="22">
        <f t="shared" si="0"/>
        <v>3333.3333333333335</v>
      </c>
      <c r="P26" t="str">
        <f>IF(D26&gt;=70000,"Yes",IF(bike_buyers!D26&lt;=70000,"No"))</f>
        <v>No</v>
      </c>
      <c r="Q26" t="str">
        <f t="shared" si="1"/>
        <v/>
      </c>
    </row>
    <row r="27" spans="1:17" ht="14.25" customHeight="1" x14ac:dyDescent="0.2">
      <c r="A27" s="4">
        <v>12590</v>
      </c>
      <c r="B27" s="4" t="s">
        <v>38</v>
      </c>
      <c r="C27" s="4" t="s">
        <v>26</v>
      </c>
      <c r="D27" s="5">
        <v>30000</v>
      </c>
      <c r="E27" s="4">
        <v>1</v>
      </c>
      <c r="F27" s="4" t="s">
        <v>28</v>
      </c>
      <c r="G27" s="4" t="s">
        <v>35</v>
      </c>
      <c r="H27" s="4" t="s">
        <v>30</v>
      </c>
      <c r="I27" s="4">
        <v>0</v>
      </c>
      <c r="J27" s="4" t="s">
        <v>31</v>
      </c>
      <c r="K27" s="4" t="s">
        <v>32</v>
      </c>
      <c r="L27" s="4">
        <v>63</v>
      </c>
      <c r="M27" s="4" t="s">
        <v>33</v>
      </c>
      <c r="O27" s="22">
        <f t="shared" si="0"/>
        <v>2500</v>
      </c>
      <c r="P27" t="str">
        <f>IF(D27&gt;=70000,"Yes",IF(bike_buyers!D27&lt;=70000,"No"))</f>
        <v>No</v>
      </c>
      <c r="Q27" t="str">
        <f t="shared" si="1"/>
        <v/>
      </c>
    </row>
    <row r="28" spans="1:17" ht="14.25" customHeight="1" x14ac:dyDescent="0.2">
      <c r="A28" s="4">
        <v>17841</v>
      </c>
      <c r="B28" s="4" t="s">
        <v>38</v>
      </c>
      <c r="C28" s="4" t="s">
        <v>26</v>
      </c>
      <c r="D28" s="5">
        <v>30000</v>
      </c>
      <c r="E28" s="4">
        <v>0</v>
      </c>
      <c r="F28" s="4" t="s">
        <v>34</v>
      </c>
      <c r="G28" s="4" t="s">
        <v>35</v>
      </c>
      <c r="H28" s="4" t="s">
        <v>33</v>
      </c>
      <c r="I28" s="4">
        <v>1</v>
      </c>
      <c r="J28" s="4" t="s">
        <v>31</v>
      </c>
      <c r="K28" s="4" t="s">
        <v>32</v>
      </c>
      <c r="L28" s="4">
        <v>29</v>
      </c>
      <c r="M28" s="4" t="s">
        <v>30</v>
      </c>
      <c r="O28" s="22">
        <f t="shared" si="0"/>
        <v>2500</v>
      </c>
      <c r="P28" t="str">
        <f>IF(D28&gt;=70000,"Yes",IF(bike_buyers!D28&lt;=70000,"No"))</f>
        <v>No</v>
      </c>
      <c r="Q28" t="str">
        <f t="shared" si="1"/>
        <v/>
      </c>
    </row>
    <row r="29" spans="1:17" ht="14.25" customHeight="1" x14ac:dyDescent="0.2">
      <c r="A29" s="6">
        <v>18283</v>
      </c>
      <c r="B29" s="6" t="s">
        <v>38</v>
      </c>
      <c r="C29" s="6" t="s">
        <v>27</v>
      </c>
      <c r="D29" s="7">
        <v>100000</v>
      </c>
      <c r="E29" s="6">
        <v>0</v>
      </c>
      <c r="F29" s="6" t="s">
        <v>28</v>
      </c>
      <c r="G29" s="6" t="s">
        <v>36</v>
      </c>
      <c r="H29" s="6" t="s">
        <v>33</v>
      </c>
      <c r="I29" s="6">
        <v>1</v>
      </c>
      <c r="J29" s="6" t="s">
        <v>39</v>
      </c>
      <c r="K29" s="6" t="s">
        <v>40</v>
      </c>
      <c r="L29" s="6">
        <v>40</v>
      </c>
      <c r="M29" s="6" t="s">
        <v>33</v>
      </c>
      <c r="N29" s="8"/>
      <c r="O29" s="23">
        <f t="shared" si="0"/>
        <v>8333.3333333333339</v>
      </c>
      <c r="P29" t="str">
        <f>IF(D29&gt;=70000,"Yes",IF(bike_buyers!D29&lt;=70000,"No"))</f>
        <v>Yes</v>
      </c>
      <c r="Q29" t="str">
        <f t="shared" si="1"/>
        <v/>
      </c>
    </row>
    <row r="30" spans="1:17" ht="14.25" customHeight="1" x14ac:dyDescent="0.2">
      <c r="A30" s="4">
        <v>18299</v>
      </c>
      <c r="B30" s="4" t="s">
        <v>26</v>
      </c>
      <c r="C30" s="4" t="s">
        <v>26</v>
      </c>
      <c r="D30" s="5">
        <v>70000</v>
      </c>
      <c r="E30" s="4">
        <v>5</v>
      </c>
      <c r="F30" s="4" t="s">
        <v>34</v>
      </c>
      <c r="G30" s="4" t="s">
        <v>29</v>
      </c>
      <c r="H30" s="4" t="s">
        <v>30</v>
      </c>
      <c r="I30" s="4">
        <v>2</v>
      </c>
      <c r="J30" s="4" t="s">
        <v>39</v>
      </c>
      <c r="K30" s="4" t="s">
        <v>40</v>
      </c>
      <c r="L30" s="4">
        <v>44</v>
      </c>
      <c r="M30" s="4" t="s">
        <v>33</v>
      </c>
      <c r="O30" s="22">
        <f t="shared" si="0"/>
        <v>5833.333333333333</v>
      </c>
      <c r="P30" t="str">
        <f>IF(D30&gt;=70000,"Yes",IF(bike_buyers!D30&lt;=70000,"No"))</f>
        <v>Yes</v>
      </c>
      <c r="Q30" t="str">
        <f t="shared" si="1"/>
        <v/>
      </c>
    </row>
    <row r="31" spans="1:17" ht="14.25" customHeight="1" x14ac:dyDescent="0.2">
      <c r="A31" s="4">
        <v>16466</v>
      </c>
      <c r="B31" s="4" t="s">
        <v>38</v>
      </c>
      <c r="C31" s="4" t="s">
        <v>27</v>
      </c>
      <c r="D31" s="5">
        <v>20000</v>
      </c>
      <c r="E31" s="4">
        <v>0</v>
      </c>
      <c r="F31" s="4" t="s">
        <v>45</v>
      </c>
      <c r="G31" s="4" t="s">
        <v>41</v>
      </c>
      <c r="H31" s="4" t="s">
        <v>33</v>
      </c>
      <c r="I31" s="4">
        <v>2</v>
      </c>
      <c r="J31" s="4" t="s">
        <v>31</v>
      </c>
      <c r="K31" s="4" t="s">
        <v>32</v>
      </c>
      <c r="L31" s="4">
        <v>32</v>
      </c>
      <c r="M31" s="4" t="s">
        <v>30</v>
      </c>
      <c r="O31" s="22">
        <f t="shared" si="0"/>
        <v>1666.6666666666667</v>
      </c>
      <c r="P31" t="str">
        <f>IF(D31&gt;=70000,"Yes",IF(bike_buyers!D31&lt;=70000,"No"))</f>
        <v>No</v>
      </c>
      <c r="Q31" t="str">
        <f t="shared" si="1"/>
        <v/>
      </c>
    </row>
    <row r="32" spans="1:17" ht="14.25" customHeight="1" x14ac:dyDescent="0.2">
      <c r="A32" s="4">
        <v>19273</v>
      </c>
      <c r="B32" s="4" t="s">
        <v>26</v>
      </c>
      <c r="C32" s="4" t="s">
        <v>27</v>
      </c>
      <c r="D32" s="5">
        <v>20000</v>
      </c>
      <c r="E32" s="4">
        <v>2</v>
      </c>
      <c r="F32" s="4" t="s">
        <v>34</v>
      </c>
      <c r="G32" s="4" t="s">
        <v>41</v>
      </c>
      <c r="H32" s="4" t="s">
        <v>30</v>
      </c>
      <c r="I32" s="4">
        <v>0</v>
      </c>
      <c r="J32" s="4" t="s">
        <v>31</v>
      </c>
      <c r="K32" s="4" t="s">
        <v>32</v>
      </c>
      <c r="L32" s="4">
        <v>63</v>
      </c>
      <c r="M32" s="4" t="s">
        <v>33</v>
      </c>
      <c r="O32" s="22">
        <f t="shared" si="0"/>
        <v>1666.6666666666667</v>
      </c>
      <c r="P32" t="str">
        <f>IF(D32&gt;=70000,"Yes",IF(bike_buyers!D32&lt;=70000,"No"))</f>
        <v>No</v>
      </c>
      <c r="Q32" t="str">
        <f t="shared" si="1"/>
        <v/>
      </c>
    </row>
    <row r="33" spans="1:17" ht="14.25" customHeight="1" x14ac:dyDescent="0.2">
      <c r="A33" s="4">
        <v>22400</v>
      </c>
      <c r="B33" s="4" t="s">
        <v>26</v>
      </c>
      <c r="C33" s="4" t="s">
        <v>26</v>
      </c>
      <c r="D33" s="5">
        <v>10000</v>
      </c>
      <c r="E33" s="4">
        <v>0</v>
      </c>
      <c r="F33" s="4" t="s">
        <v>34</v>
      </c>
      <c r="G33" s="4" t="s">
        <v>41</v>
      </c>
      <c r="H33" s="4" t="s">
        <v>33</v>
      </c>
      <c r="I33" s="4">
        <v>1</v>
      </c>
      <c r="J33" s="4" t="s">
        <v>31</v>
      </c>
      <c r="K33" s="4" t="s">
        <v>40</v>
      </c>
      <c r="L33" s="4">
        <v>26</v>
      </c>
      <c r="M33" s="4" t="s">
        <v>30</v>
      </c>
      <c r="O33" s="22">
        <f t="shared" si="0"/>
        <v>833.33333333333337</v>
      </c>
      <c r="P33" t="str">
        <f>IF(D33&gt;=70000,"Yes",IF(bike_buyers!D33&lt;=70000,"No"))</f>
        <v>No</v>
      </c>
      <c r="Q33" t="str">
        <f t="shared" si="1"/>
        <v/>
      </c>
    </row>
    <row r="34" spans="1:17" ht="14.25" customHeight="1" x14ac:dyDescent="0.2">
      <c r="A34" s="4">
        <v>20942</v>
      </c>
      <c r="B34" s="4" t="s">
        <v>38</v>
      </c>
      <c r="C34" s="4" t="s">
        <v>27</v>
      </c>
      <c r="D34" s="5">
        <v>20000</v>
      </c>
      <c r="E34" s="4">
        <v>0</v>
      </c>
      <c r="F34" s="4" t="s">
        <v>43</v>
      </c>
      <c r="G34" s="4" t="s">
        <v>41</v>
      </c>
      <c r="H34" s="4" t="s">
        <v>33</v>
      </c>
      <c r="I34" s="4">
        <v>1</v>
      </c>
      <c r="J34" s="4" t="s">
        <v>39</v>
      </c>
      <c r="K34" s="4" t="s">
        <v>32</v>
      </c>
      <c r="L34" s="4">
        <v>31</v>
      </c>
      <c r="M34" s="4" t="s">
        <v>33</v>
      </c>
      <c r="O34" s="22">
        <f t="shared" si="0"/>
        <v>1666.6666666666667</v>
      </c>
      <c r="P34" t="str">
        <f>IF(D34&gt;=70000,"Yes",IF(bike_buyers!D34&lt;=70000,"No"))</f>
        <v>No</v>
      </c>
      <c r="Q34" t="str">
        <f t="shared" si="1"/>
        <v/>
      </c>
    </row>
    <row r="35" spans="1:17" ht="14.25" customHeight="1" x14ac:dyDescent="0.2">
      <c r="A35" s="4">
        <v>18484</v>
      </c>
      <c r="B35" s="4" t="s">
        <v>38</v>
      </c>
      <c r="C35" s="4" t="s">
        <v>26</v>
      </c>
      <c r="D35" s="5">
        <v>80000</v>
      </c>
      <c r="E35" s="4">
        <v>2</v>
      </c>
      <c r="F35" s="4" t="s">
        <v>43</v>
      </c>
      <c r="G35" s="4" t="s">
        <v>29</v>
      </c>
      <c r="H35" s="4" t="s">
        <v>33</v>
      </c>
      <c r="I35" s="4">
        <v>2</v>
      </c>
      <c r="J35" s="4" t="s">
        <v>42</v>
      </c>
      <c r="K35" s="4" t="s">
        <v>40</v>
      </c>
      <c r="L35" s="4">
        <v>50</v>
      </c>
      <c r="M35" s="4" t="s">
        <v>30</v>
      </c>
      <c r="O35" s="22">
        <f t="shared" si="0"/>
        <v>6666.666666666667</v>
      </c>
      <c r="P35" t="str">
        <f>IF(D35&gt;=70000,"Yes",IF(bike_buyers!D35&lt;=70000,"No"))</f>
        <v>Yes</v>
      </c>
      <c r="Q35" t="str">
        <f t="shared" si="1"/>
        <v/>
      </c>
    </row>
    <row r="36" spans="1:17" ht="14.25" customHeight="1" x14ac:dyDescent="0.2">
      <c r="A36" s="6">
        <v>12291</v>
      </c>
      <c r="B36" s="6" t="s">
        <v>38</v>
      </c>
      <c r="C36" s="6" t="s">
        <v>26</v>
      </c>
      <c r="D36" s="7">
        <v>90000</v>
      </c>
      <c r="E36" s="6">
        <v>5</v>
      </c>
      <c r="F36" s="6" t="s">
        <v>34</v>
      </c>
      <c r="G36" s="6" t="s">
        <v>36</v>
      </c>
      <c r="H36" s="6" t="s">
        <v>33</v>
      </c>
      <c r="I36" s="6">
        <v>2</v>
      </c>
      <c r="J36" s="6" t="s">
        <v>37</v>
      </c>
      <c r="K36" s="6" t="s">
        <v>32</v>
      </c>
      <c r="L36" s="6">
        <v>62</v>
      </c>
      <c r="M36" s="6" t="s">
        <v>30</v>
      </c>
      <c r="N36" s="8"/>
      <c r="O36" s="23">
        <f t="shared" si="0"/>
        <v>7500</v>
      </c>
      <c r="P36" t="str">
        <f>IF(D36&gt;=70000,"Yes",IF(bike_buyers!D36&lt;=70000,"No"))</f>
        <v>Yes</v>
      </c>
      <c r="Q36" t="str">
        <f t="shared" si="1"/>
        <v/>
      </c>
    </row>
    <row r="37" spans="1:17" ht="14.25" customHeight="1" x14ac:dyDescent="0.2">
      <c r="A37" s="4">
        <v>28380</v>
      </c>
      <c r="B37" s="4" t="s">
        <v>38</v>
      </c>
      <c r="C37" s="4" t="s">
        <v>27</v>
      </c>
      <c r="D37" s="5">
        <v>10000</v>
      </c>
      <c r="E37" s="4">
        <v>5</v>
      </c>
      <c r="F37" s="4" t="s">
        <v>45</v>
      </c>
      <c r="G37" s="4" t="s">
        <v>41</v>
      </c>
      <c r="H37" s="4" t="s">
        <v>33</v>
      </c>
      <c r="I37" s="4">
        <v>2</v>
      </c>
      <c r="J37" s="4" t="s">
        <v>31</v>
      </c>
      <c r="K37" s="4" t="s">
        <v>32</v>
      </c>
      <c r="L37" s="4">
        <v>41</v>
      </c>
      <c r="M37" s="4" t="s">
        <v>33</v>
      </c>
      <c r="O37" s="22">
        <f t="shared" si="0"/>
        <v>833.33333333333337</v>
      </c>
      <c r="P37" t="str">
        <f>IF(D37&gt;=70000,"Yes",IF(bike_buyers!D37&lt;=70000,"No"))</f>
        <v>No</v>
      </c>
      <c r="Q37" t="str">
        <f t="shared" si="1"/>
        <v/>
      </c>
    </row>
    <row r="38" spans="1:17" ht="14.25" customHeight="1" x14ac:dyDescent="0.2">
      <c r="A38" s="4">
        <v>17891</v>
      </c>
      <c r="B38" s="4" t="s">
        <v>26</v>
      </c>
      <c r="C38" s="4" t="s">
        <v>27</v>
      </c>
      <c r="D38" s="5">
        <v>10000</v>
      </c>
      <c r="E38" s="4">
        <v>2</v>
      </c>
      <c r="F38" s="4" t="s">
        <v>34</v>
      </c>
      <c r="G38" s="4" t="s">
        <v>41</v>
      </c>
      <c r="H38" s="4" t="s">
        <v>30</v>
      </c>
      <c r="I38" s="4">
        <v>1</v>
      </c>
      <c r="J38" s="4" t="s">
        <v>31</v>
      </c>
      <c r="K38" s="4" t="s">
        <v>32</v>
      </c>
      <c r="L38" s="4">
        <v>50</v>
      </c>
      <c r="M38" s="4" t="s">
        <v>30</v>
      </c>
      <c r="O38" s="22">
        <f t="shared" si="0"/>
        <v>833.33333333333337</v>
      </c>
      <c r="P38" t="str">
        <f>IF(D38&gt;=70000,"Yes",IF(bike_buyers!D38&lt;=70000,"No"))</f>
        <v>No</v>
      </c>
      <c r="Q38" t="str">
        <f t="shared" si="1"/>
        <v/>
      </c>
    </row>
    <row r="39" spans="1:17" ht="14.25" customHeight="1" x14ac:dyDescent="0.2">
      <c r="A39" s="4">
        <v>27832</v>
      </c>
      <c r="B39" s="4" t="s">
        <v>38</v>
      </c>
      <c r="C39" s="4" t="s">
        <v>27</v>
      </c>
      <c r="D39" s="5">
        <v>30000</v>
      </c>
      <c r="E39" s="4">
        <v>0</v>
      </c>
      <c r="F39" s="4" t="s">
        <v>34</v>
      </c>
      <c r="G39" s="4" t="s">
        <v>35</v>
      </c>
      <c r="H39" s="4" t="s">
        <v>33</v>
      </c>
      <c r="I39" s="4">
        <v>1</v>
      </c>
      <c r="J39" s="4" t="s">
        <v>37</v>
      </c>
      <c r="K39" s="4" t="s">
        <v>32</v>
      </c>
      <c r="L39" s="4">
        <v>30</v>
      </c>
      <c r="M39" s="4" t="s">
        <v>33</v>
      </c>
      <c r="O39" s="22">
        <f t="shared" si="0"/>
        <v>2500</v>
      </c>
      <c r="P39" t="str">
        <f>IF(D39&gt;=70000,"Yes",IF(bike_buyers!D39&lt;=70000,"No"))</f>
        <v>No</v>
      </c>
      <c r="Q39" t="str">
        <f t="shared" si="1"/>
        <v/>
      </c>
    </row>
    <row r="40" spans="1:17" ht="14.25" customHeight="1" x14ac:dyDescent="0.2">
      <c r="A40" s="9">
        <v>26863</v>
      </c>
      <c r="B40" s="9" t="s">
        <v>38</v>
      </c>
      <c r="C40" s="9" t="s">
        <v>26</v>
      </c>
      <c r="D40" s="10">
        <v>20000</v>
      </c>
      <c r="E40" s="9">
        <v>0</v>
      </c>
      <c r="F40" s="9" t="s">
        <v>43</v>
      </c>
      <c r="G40" s="9" t="s">
        <v>41</v>
      </c>
      <c r="H40" s="9" t="s">
        <v>33</v>
      </c>
      <c r="I40" s="9">
        <v>1</v>
      </c>
      <c r="J40" s="9" t="s">
        <v>37</v>
      </c>
      <c r="K40" s="9" t="s">
        <v>32</v>
      </c>
      <c r="L40" s="9">
        <v>28</v>
      </c>
      <c r="M40" s="9" t="s">
        <v>33</v>
      </c>
      <c r="N40" s="11"/>
      <c r="O40" s="24">
        <f t="shared" si="0"/>
        <v>1666.6666666666667</v>
      </c>
      <c r="P40" t="str">
        <f>IF(D40&gt;=70000,"Yes",IF(bike_buyers!D40&lt;=70000,"No"))</f>
        <v>No</v>
      </c>
      <c r="Q40" t="str">
        <f t="shared" si="1"/>
        <v/>
      </c>
    </row>
    <row r="41" spans="1:17" ht="14.25" customHeight="1" x14ac:dyDescent="0.2">
      <c r="A41" s="4">
        <v>16259</v>
      </c>
      <c r="B41" s="4" t="s">
        <v>38</v>
      </c>
      <c r="C41" s="4" t="s">
        <v>27</v>
      </c>
      <c r="D41" s="5">
        <v>10000</v>
      </c>
      <c r="E41" s="4">
        <v>4</v>
      </c>
      <c r="F41" s="4" t="s">
        <v>45</v>
      </c>
      <c r="G41" s="4" t="s">
        <v>41</v>
      </c>
      <c r="H41" s="4" t="s">
        <v>30</v>
      </c>
      <c r="I41" s="4">
        <v>2</v>
      </c>
      <c r="J41" s="4" t="s">
        <v>31</v>
      </c>
      <c r="K41" s="4" t="s">
        <v>32</v>
      </c>
      <c r="L41" s="4">
        <v>40</v>
      </c>
      <c r="M41" s="4" t="s">
        <v>30</v>
      </c>
      <c r="O41" s="22">
        <f t="shared" si="0"/>
        <v>833.33333333333337</v>
      </c>
      <c r="P41" t="str">
        <f>IF(D41&gt;=70000,"Yes",IF(bike_buyers!D41&lt;=70000,"No"))</f>
        <v>No</v>
      </c>
      <c r="Q41" t="str">
        <f t="shared" si="1"/>
        <v/>
      </c>
    </row>
    <row r="42" spans="1:17" ht="14.25" customHeight="1" x14ac:dyDescent="0.2">
      <c r="A42" s="4">
        <v>27803</v>
      </c>
      <c r="B42" s="4" t="s">
        <v>38</v>
      </c>
      <c r="C42" s="4" t="s">
        <v>27</v>
      </c>
      <c r="D42" s="5">
        <v>30000</v>
      </c>
      <c r="E42" s="4">
        <v>2</v>
      </c>
      <c r="F42" s="4" t="s">
        <v>34</v>
      </c>
      <c r="G42" s="4" t="s">
        <v>35</v>
      </c>
      <c r="H42" s="4" t="s">
        <v>33</v>
      </c>
      <c r="I42" s="4">
        <v>0</v>
      </c>
      <c r="J42" s="4" t="s">
        <v>31</v>
      </c>
      <c r="K42" s="4" t="s">
        <v>32</v>
      </c>
      <c r="L42" s="4">
        <v>43</v>
      </c>
      <c r="M42" s="4" t="s">
        <v>33</v>
      </c>
      <c r="O42" s="22">
        <f t="shared" si="0"/>
        <v>2500</v>
      </c>
      <c r="P42" t="str">
        <f>IF(D42&gt;=70000,"Yes",IF(bike_buyers!D42&lt;=70000,"No"))</f>
        <v>No</v>
      </c>
      <c r="Q42" t="str">
        <f t="shared" si="1"/>
        <v/>
      </c>
    </row>
    <row r="43" spans="1:17" ht="14.25" customHeight="1" x14ac:dyDescent="0.2">
      <c r="A43" s="4">
        <v>14347</v>
      </c>
      <c r="B43" s="4" t="s">
        <v>38</v>
      </c>
      <c r="C43" s="4" t="s">
        <v>27</v>
      </c>
      <c r="D43" s="5">
        <v>40000</v>
      </c>
      <c r="E43" s="4">
        <v>2</v>
      </c>
      <c r="F43" s="4" t="s">
        <v>28</v>
      </c>
      <c r="G43" s="4" t="s">
        <v>44</v>
      </c>
      <c r="H43" s="4" t="s">
        <v>30</v>
      </c>
      <c r="I43" s="4">
        <v>2</v>
      </c>
      <c r="J43" s="4" t="s">
        <v>39</v>
      </c>
      <c r="K43" s="4" t="s">
        <v>40</v>
      </c>
      <c r="L43" s="4">
        <v>65</v>
      </c>
      <c r="M43" s="4" t="s">
        <v>30</v>
      </c>
      <c r="O43" s="22">
        <f t="shared" si="0"/>
        <v>3333.3333333333335</v>
      </c>
      <c r="P43" t="str">
        <f>IF(D43&gt;=70000,"Yes",IF(bike_buyers!D43&lt;=70000,"No"))</f>
        <v>No</v>
      </c>
      <c r="Q43" t="str">
        <f t="shared" si="1"/>
        <v/>
      </c>
    </row>
    <row r="44" spans="1:17" ht="14.25" customHeight="1" x14ac:dyDescent="0.2">
      <c r="A44" s="4">
        <v>17703</v>
      </c>
      <c r="B44" s="4" t="s">
        <v>26</v>
      </c>
      <c r="C44" s="4" t="s">
        <v>27</v>
      </c>
      <c r="D44" s="5">
        <v>10000</v>
      </c>
      <c r="E44" s="4">
        <v>1</v>
      </c>
      <c r="F44" s="4" t="s">
        <v>47</v>
      </c>
      <c r="G44" s="4" t="s">
        <v>41</v>
      </c>
      <c r="H44" s="4" t="s">
        <v>30</v>
      </c>
      <c r="I44" s="4">
        <v>0</v>
      </c>
      <c r="J44" s="4" t="s">
        <v>31</v>
      </c>
      <c r="K44" s="4" t="s">
        <v>32</v>
      </c>
      <c r="L44" s="4">
        <v>40</v>
      </c>
      <c r="M44" s="4" t="s">
        <v>33</v>
      </c>
      <c r="O44" s="22">
        <f t="shared" si="0"/>
        <v>833.33333333333337</v>
      </c>
      <c r="P44" t="str">
        <f>IF(D44&gt;=70000,"Yes",IF(bike_buyers!D44&lt;=70000,"No"))</f>
        <v>No</v>
      </c>
      <c r="Q44" t="str">
        <f t="shared" si="1"/>
        <v/>
      </c>
    </row>
    <row r="45" spans="1:17" ht="14.25" customHeight="1" x14ac:dyDescent="0.2">
      <c r="A45" s="6">
        <v>17185</v>
      </c>
      <c r="B45" s="6" t="s">
        <v>26</v>
      </c>
      <c r="C45" s="6" t="s">
        <v>27</v>
      </c>
      <c r="D45" s="7">
        <v>170000</v>
      </c>
      <c r="E45" s="6">
        <v>4</v>
      </c>
      <c r="F45" s="6" t="s">
        <v>34</v>
      </c>
      <c r="G45" s="6" t="s">
        <v>36</v>
      </c>
      <c r="H45" s="6" t="s">
        <v>33</v>
      </c>
      <c r="I45" s="6">
        <v>3</v>
      </c>
      <c r="J45" s="6" t="s">
        <v>39</v>
      </c>
      <c r="K45" s="6" t="s">
        <v>32</v>
      </c>
      <c r="L45" s="6">
        <v>48</v>
      </c>
      <c r="M45" s="6" t="s">
        <v>30</v>
      </c>
      <c r="N45" s="8"/>
      <c r="O45" s="23">
        <f t="shared" si="0"/>
        <v>14166.666666666666</v>
      </c>
      <c r="P45" t="str">
        <f>IF(D45&gt;=70000,"Yes",IF(bike_buyers!D45&lt;=70000,"No"))</f>
        <v>Yes</v>
      </c>
      <c r="Q45" t="str">
        <f t="shared" si="1"/>
        <v/>
      </c>
    </row>
    <row r="46" spans="1:17" ht="14.25" customHeight="1" x14ac:dyDescent="0.2">
      <c r="A46" s="4">
        <v>29380</v>
      </c>
      <c r="B46" s="4" t="s">
        <v>26</v>
      </c>
      <c r="C46" s="4" t="s">
        <v>27</v>
      </c>
      <c r="D46" s="5">
        <v>20000</v>
      </c>
      <c r="E46" s="4">
        <v>3</v>
      </c>
      <c r="F46" s="4" t="s">
        <v>43</v>
      </c>
      <c r="G46" s="4" t="s">
        <v>41</v>
      </c>
      <c r="H46" s="4" t="s">
        <v>30</v>
      </c>
      <c r="I46" s="4">
        <v>0</v>
      </c>
      <c r="J46" s="4" t="s">
        <v>31</v>
      </c>
      <c r="K46" s="4" t="s">
        <v>32</v>
      </c>
      <c r="L46" s="4">
        <v>41</v>
      </c>
      <c r="M46" s="4" t="s">
        <v>30</v>
      </c>
      <c r="O46" s="22">
        <f t="shared" si="0"/>
        <v>1666.6666666666667</v>
      </c>
      <c r="P46" t="str">
        <f>IF(D46&gt;=70000,"Yes",IF(bike_buyers!D46&lt;=70000,"No"))</f>
        <v>No</v>
      </c>
      <c r="Q46" t="str">
        <f t="shared" si="1"/>
        <v/>
      </c>
    </row>
    <row r="47" spans="1:17" ht="14.25" customHeight="1" x14ac:dyDescent="0.2">
      <c r="A47" s="4">
        <v>23986</v>
      </c>
      <c r="B47" s="4" t="s">
        <v>26</v>
      </c>
      <c r="C47" s="4" t="s">
        <v>27</v>
      </c>
      <c r="D47" s="5">
        <v>20000</v>
      </c>
      <c r="E47" s="4">
        <v>1</v>
      </c>
      <c r="F47" s="4" t="s">
        <v>28</v>
      </c>
      <c r="G47" s="4" t="s">
        <v>35</v>
      </c>
      <c r="H47" s="4" t="s">
        <v>30</v>
      </c>
      <c r="I47" s="4">
        <v>0</v>
      </c>
      <c r="J47" s="4" t="s">
        <v>31</v>
      </c>
      <c r="K47" s="4" t="s">
        <v>32</v>
      </c>
      <c r="L47" s="4">
        <v>66</v>
      </c>
      <c r="M47" s="4" t="s">
        <v>30</v>
      </c>
      <c r="O47" s="22">
        <f t="shared" si="0"/>
        <v>1666.6666666666667</v>
      </c>
      <c r="P47" t="str">
        <f>IF(D47&gt;=70000,"Yes",IF(bike_buyers!D47&lt;=70000,"No"))</f>
        <v>No</v>
      </c>
      <c r="Q47" t="str">
        <f t="shared" si="1"/>
        <v/>
      </c>
    </row>
    <row r="48" spans="1:17" ht="14.25" customHeight="1" x14ac:dyDescent="0.2">
      <c r="A48" s="4">
        <v>24466</v>
      </c>
      <c r="B48" s="4" t="s">
        <v>26</v>
      </c>
      <c r="C48" s="4" t="s">
        <v>27</v>
      </c>
      <c r="D48" s="5">
        <v>60000</v>
      </c>
      <c r="E48" s="4">
        <v>1</v>
      </c>
      <c r="F48" s="4" t="s">
        <v>34</v>
      </c>
      <c r="G48" s="4" t="s">
        <v>29</v>
      </c>
      <c r="H48" s="4" t="s">
        <v>30</v>
      </c>
      <c r="I48" s="4">
        <v>1</v>
      </c>
      <c r="J48" s="4" t="s">
        <v>39</v>
      </c>
      <c r="K48" s="4" t="s">
        <v>40</v>
      </c>
      <c r="L48" s="4">
        <v>46</v>
      </c>
      <c r="M48" s="4" t="s">
        <v>30</v>
      </c>
      <c r="O48" s="22">
        <f t="shared" si="0"/>
        <v>5000</v>
      </c>
      <c r="P48" t="str">
        <f>IF(D48&gt;=70000,"Yes",IF(bike_buyers!D48&lt;=70000,"No"))</f>
        <v>No</v>
      </c>
      <c r="Q48" t="str">
        <f t="shared" si="1"/>
        <v/>
      </c>
    </row>
    <row r="49" spans="1:17" ht="14.25" customHeight="1" x14ac:dyDescent="0.2">
      <c r="A49" s="4">
        <v>29097</v>
      </c>
      <c r="B49" s="4" t="s">
        <v>38</v>
      </c>
      <c r="C49" s="4" t="s">
        <v>27</v>
      </c>
      <c r="D49" s="5">
        <v>40000</v>
      </c>
      <c r="E49" s="4">
        <v>2</v>
      </c>
      <c r="F49" s="4" t="s">
        <v>34</v>
      </c>
      <c r="G49" s="4" t="s">
        <v>29</v>
      </c>
      <c r="H49" s="4" t="s">
        <v>30</v>
      </c>
      <c r="I49" s="4">
        <v>2</v>
      </c>
      <c r="J49" s="4" t="s">
        <v>39</v>
      </c>
      <c r="K49" s="4" t="s">
        <v>40</v>
      </c>
      <c r="L49" s="4">
        <v>52</v>
      </c>
      <c r="M49" s="4" t="s">
        <v>30</v>
      </c>
      <c r="O49" s="22">
        <f t="shared" si="0"/>
        <v>3333.3333333333335</v>
      </c>
      <c r="P49" t="str">
        <f>IF(D49&gt;=70000,"Yes",IF(bike_buyers!D49&lt;=70000,"No"))</f>
        <v>No</v>
      </c>
      <c r="Q49" t="str">
        <f t="shared" si="1"/>
        <v/>
      </c>
    </row>
    <row r="50" spans="1:17" ht="14.25" customHeight="1" x14ac:dyDescent="0.2">
      <c r="A50" s="4">
        <v>19487</v>
      </c>
      <c r="B50" s="4" t="s">
        <v>26</v>
      </c>
      <c r="C50" s="4" t="s">
        <v>26</v>
      </c>
      <c r="D50" s="5">
        <v>30000</v>
      </c>
      <c r="E50" s="4">
        <v>2</v>
      </c>
      <c r="F50" s="4" t="s">
        <v>34</v>
      </c>
      <c r="G50" s="4" t="s">
        <v>35</v>
      </c>
      <c r="H50" s="4" t="s">
        <v>33</v>
      </c>
      <c r="I50" s="4">
        <v>2</v>
      </c>
      <c r="J50" s="4" t="s">
        <v>31</v>
      </c>
      <c r="K50" s="4" t="s">
        <v>32</v>
      </c>
      <c r="L50" s="4">
        <v>42</v>
      </c>
      <c r="M50" s="4" t="s">
        <v>33</v>
      </c>
      <c r="O50" s="22">
        <f t="shared" si="0"/>
        <v>2500</v>
      </c>
      <c r="P50" t="str">
        <f>IF(D50&gt;=70000,"Yes",IF(bike_buyers!D50&lt;=70000,"No"))</f>
        <v>No</v>
      </c>
      <c r="Q50" t="str">
        <f t="shared" si="1"/>
        <v/>
      </c>
    </row>
    <row r="51" spans="1:17" ht="14.25" customHeight="1" x14ac:dyDescent="0.2">
      <c r="A51" s="4">
        <v>14939</v>
      </c>
      <c r="B51" s="4" t="s">
        <v>38</v>
      </c>
      <c r="C51" s="4" t="s">
        <v>26</v>
      </c>
      <c r="D51" s="5">
        <v>40000</v>
      </c>
      <c r="E51" s="4">
        <v>0</v>
      </c>
      <c r="F51" s="4" t="s">
        <v>28</v>
      </c>
      <c r="G51" s="4" t="s">
        <v>35</v>
      </c>
      <c r="H51" s="4" t="s">
        <v>30</v>
      </c>
      <c r="I51" s="4">
        <v>0</v>
      </c>
      <c r="J51" s="4" t="s">
        <v>31</v>
      </c>
      <c r="K51" s="4" t="s">
        <v>32</v>
      </c>
      <c r="L51" s="4">
        <v>39</v>
      </c>
      <c r="M51" s="4" t="s">
        <v>30</v>
      </c>
      <c r="O51" s="22">
        <f t="shared" si="0"/>
        <v>3333.3333333333335</v>
      </c>
      <c r="P51" t="str">
        <f>IF(D51&gt;=70000,"Yes",IF(bike_buyers!D51&lt;=70000,"No"))</f>
        <v>No</v>
      </c>
      <c r="Q51" t="str">
        <f t="shared" si="1"/>
        <v/>
      </c>
    </row>
    <row r="52" spans="1:17" ht="14.25" customHeight="1" x14ac:dyDescent="0.2">
      <c r="A52" s="9">
        <v>13826</v>
      </c>
      <c r="B52" s="9" t="s">
        <v>38</v>
      </c>
      <c r="C52" s="9" t="s">
        <v>27</v>
      </c>
      <c r="D52" s="10">
        <v>30000</v>
      </c>
      <c r="E52" s="9">
        <v>0</v>
      </c>
      <c r="F52" s="9" t="s">
        <v>34</v>
      </c>
      <c r="G52" s="9" t="s">
        <v>35</v>
      </c>
      <c r="H52" s="9" t="s">
        <v>33</v>
      </c>
      <c r="I52" s="9">
        <v>1</v>
      </c>
      <c r="J52" s="9" t="s">
        <v>31</v>
      </c>
      <c r="K52" s="9" t="s">
        <v>32</v>
      </c>
      <c r="L52" s="9">
        <v>28</v>
      </c>
      <c r="M52" s="9" t="s">
        <v>33</v>
      </c>
      <c r="N52" s="11"/>
      <c r="O52" s="24">
        <f t="shared" si="0"/>
        <v>2500</v>
      </c>
      <c r="P52" t="str">
        <f>IF(D52&gt;=70000,"Yes",IF(bike_buyers!D52&lt;=70000,"No"))</f>
        <v>No</v>
      </c>
      <c r="Q52" t="str">
        <f t="shared" si="1"/>
        <v/>
      </c>
    </row>
    <row r="53" spans="1:17" ht="14.25" customHeight="1" x14ac:dyDescent="0.2">
      <c r="A53" s="4">
        <v>20619</v>
      </c>
      <c r="B53" s="4" t="s">
        <v>38</v>
      </c>
      <c r="C53" s="4" t="s">
        <v>26</v>
      </c>
      <c r="D53" s="5">
        <v>80000</v>
      </c>
      <c r="E53" s="4">
        <v>0</v>
      </c>
      <c r="F53" s="4" t="s">
        <v>28</v>
      </c>
      <c r="G53" s="4" t="s">
        <v>36</v>
      </c>
      <c r="H53" s="4" t="s">
        <v>33</v>
      </c>
      <c r="I53" s="4">
        <v>4</v>
      </c>
      <c r="J53" s="4" t="s">
        <v>46</v>
      </c>
      <c r="K53" s="4" t="s">
        <v>40</v>
      </c>
      <c r="L53" s="4">
        <v>35</v>
      </c>
      <c r="M53" s="4" t="s">
        <v>33</v>
      </c>
      <c r="O53" s="22">
        <f t="shared" si="0"/>
        <v>6666.666666666667</v>
      </c>
      <c r="P53" t="str">
        <f>IF(D53&gt;=70000,"Yes",IF(bike_buyers!D53&lt;=70000,"No"))</f>
        <v>Yes</v>
      </c>
      <c r="Q53" t="str">
        <f t="shared" si="1"/>
        <v/>
      </c>
    </row>
    <row r="54" spans="1:17" ht="14.25" customHeight="1" x14ac:dyDescent="0.2">
      <c r="A54" s="4">
        <v>12558</v>
      </c>
      <c r="B54" s="4" t="s">
        <v>26</v>
      </c>
      <c r="C54" s="4" t="s">
        <v>27</v>
      </c>
      <c r="D54" s="5">
        <v>20000</v>
      </c>
      <c r="E54" s="4">
        <v>1</v>
      </c>
      <c r="F54" s="4" t="s">
        <v>28</v>
      </c>
      <c r="G54" s="4" t="s">
        <v>35</v>
      </c>
      <c r="H54" s="4" t="s">
        <v>30</v>
      </c>
      <c r="I54" s="4">
        <v>0</v>
      </c>
      <c r="J54" s="4" t="s">
        <v>31</v>
      </c>
      <c r="K54" s="4" t="s">
        <v>32</v>
      </c>
      <c r="L54" s="4">
        <v>65</v>
      </c>
      <c r="M54" s="4" t="s">
        <v>33</v>
      </c>
      <c r="O54" s="22">
        <f t="shared" si="0"/>
        <v>1666.6666666666667</v>
      </c>
      <c r="P54" t="str">
        <f>IF(D54&gt;=70000,"Yes",IF(bike_buyers!D54&lt;=70000,"No"))</f>
        <v>No</v>
      </c>
      <c r="Q54" t="str">
        <f t="shared" si="1"/>
        <v>Yes</v>
      </c>
    </row>
    <row r="55" spans="1:17" ht="14.25" customHeight="1" x14ac:dyDescent="0.2">
      <c r="A55" s="6">
        <v>24871</v>
      </c>
      <c r="B55" s="6" t="s">
        <v>38</v>
      </c>
      <c r="C55" s="6" t="s">
        <v>27</v>
      </c>
      <c r="D55" s="7">
        <v>90000</v>
      </c>
      <c r="E55" s="6">
        <v>4</v>
      </c>
      <c r="F55" s="6" t="s">
        <v>43</v>
      </c>
      <c r="G55" s="6" t="s">
        <v>44</v>
      </c>
      <c r="H55" s="6" t="s">
        <v>33</v>
      </c>
      <c r="I55" s="6">
        <v>3</v>
      </c>
      <c r="J55" s="6" t="s">
        <v>39</v>
      </c>
      <c r="K55" s="6" t="s">
        <v>32</v>
      </c>
      <c r="L55" s="6">
        <v>56</v>
      </c>
      <c r="M55" s="6" t="s">
        <v>33</v>
      </c>
      <c r="N55" s="8"/>
      <c r="O55" s="23">
        <f t="shared" si="0"/>
        <v>7500</v>
      </c>
      <c r="P55" t="str">
        <f>IF(D55&gt;=70000,"Yes",IF(bike_buyers!D55&lt;=70000,"No"))</f>
        <v>Yes</v>
      </c>
      <c r="Q55" t="str">
        <f t="shared" si="1"/>
        <v/>
      </c>
    </row>
    <row r="56" spans="1:17" ht="14.25" customHeight="1" x14ac:dyDescent="0.2">
      <c r="A56" s="4">
        <v>17319</v>
      </c>
      <c r="B56" s="4" t="s">
        <v>38</v>
      </c>
      <c r="C56" s="4" t="s">
        <v>27</v>
      </c>
      <c r="D56" s="5">
        <v>70000</v>
      </c>
      <c r="E56" s="4">
        <v>0</v>
      </c>
      <c r="F56" s="4" t="s">
        <v>28</v>
      </c>
      <c r="G56" s="4" t="s">
        <v>36</v>
      </c>
      <c r="H56" s="4" t="s">
        <v>33</v>
      </c>
      <c r="I56" s="4">
        <v>1</v>
      </c>
      <c r="J56" s="4" t="s">
        <v>39</v>
      </c>
      <c r="K56" s="4" t="s">
        <v>40</v>
      </c>
      <c r="L56" s="4">
        <v>42</v>
      </c>
      <c r="M56" s="4" t="s">
        <v>33</v>
      </c>
      <c r="O56" s="22">
        <f t="shared" si="0"/>
        <v>5833.333333333333</v>
      </c>
      <c r="P56" t="str">
        <f>IF(D56&gt;=70000,"Yes",IF(bike_buyers!D56&lt;=70000,"No"))</f>
        <v>Yes</v>
      </c>
      <c r="Q56" t="str">
        <f t="shared" si="1"/>
        <v/>
      </c>
    </row>
    <row r="57" spans="1:17" ht="14.25" customHeight="1" x14ac:dyDescent="0.2">
      <c r="A57" s="4">
        <v>28906</v>
      </c>
      <c r="B57" s="4" t="s">
        <v>26</v>
      </c>
      <c r="C57" s="4" t="s">
        <v>26</v>
      </c>
      <c r="D57" s="5">
        <v>80000</v>
      </c>
      <c r="E57" s="4">
        <v>4</v>
      </c>
      <c r="F57" s="4" t="s">
        <v>43</v>
      </c>
      <c r="G57" s="4" t="s">
        <v>36</v>
      </c>
      <c r="H57" s="4" t="s">
        <v>30</v>
      </c>
      <c r="I57" s="4">
        <v>2</v>
      </c>
      <c r="J57" s="4" t="s">
        <v>46</v>
      </c>
      <c r="K57" s="4" t="s">
        <v>32</v>
      </c>
      <c r="L57" s="4">
        <v>54</v>
      </c>
      <c r="M57" s="4" t="s">
        <v>33</v>
      </c>
      <c r="O57" s="22">
        <f t="shared" si="0"/>
        <v>6666.666666666667</v>
      </c>
      <c r="P57" t="str">
        <f>IF(D57&gt;=70000,"Yes",IF(bike_buyers!D57&lt;=70000,"No"))</f>
        <v>Yes</v>
      </c>
      <c r="Q57" t="str">
        <f t="shared" si="1"/>
        <v/>
      </c>
    </row>
    <row r="58" spans="1:17" ht="14.25" customHeight="1" x14ac:dyDescent="0.2">
      <c r="A58" s="4">
        <v>12808</v>
      </c>
      <c r="B58" s="4" t="s">
        <v>26</v>
      </c>
      <c r="C58" s="4" t="s">
        <v>26</v>
      </c>
      <c r="D58" s="5">
        <v>40000</v>
      </c>
      <c r="E58" s="4">
        <v>0</v>
      </c>
      <c r="F58" s="4" t="s">
        <v>28</v>
      </c>
      <c r="G58" s="4" t="s">
        <v>35</v>
      </c>
      <c r="H58" s="4" t="s">
        <v>30</v>
      </c>
      <c r="I58" s="4">
        <v>0</v>
      </c>
      <c r="J58" s="4" t="s">
        <v>31</v>
      </c>
      <c r="K58" s="4" t="s">
        <v>32</v>
      </c>
      <c r="L58" s="4">
        <v>38</v>
      </c>
      <c r="M58" s="4" t="s">
        <v>30</v>
      </c>
      <c r="O58" s="22">
        <f t="shared" si="0"/>
        <v>3333.3333333333335</v>
      </c>
      <c r="P58" t="str">
        <f>IF(D58&gt;=70000,"Yes",IF(bike_buyers!D58&lt;=70000,"No"))</f>
        <v>No</v>
      </c>
      <c r="Q58" t="str">
        <f t="shared" si="1"/>
        <v/>
      </c>
    </row>
    <row r="59" spans="1:17" ht="14.25" customHeight="1" x14ac:dyDescent="0.2">
      <c r="A59" s="6">
        <v>20567</v>
      </c>
      <c r="B59" s="6" t="s">
        <v>26</v>
      </c>
      <c r="C59" s="6" t="s">
        <v>26</v>
      </c>
      <c r="D59" s="7">
        <v>130000</v>
      </c>
      <c r="E59" s="6">
        <v>4</v>
      </c>
      <c r="F59" s="6" t="s">
        <v>34</v>
      </c>
      <c r="G59" s="6" t="s">
        <v>36</v>
      </c>
      <c r="H59" s="6" t="s">
        <v>33</v>
      </c>
      <c r="I59" s="6">
        <v>4</v>
      </c>
      <c r="J59" s="6" t="s">
        <v>39</v>
      </c>
      <c r="K59" s="6" t="s">
        <v>32</v>
      </c>
      <c r="L59" s="6">
        <v>61</v>
      </c>
      <c r="M59" s="6" t="s">
        <v>30</v>
      </c>
      <c r="N59" s="8"/>
      <c r="O59" s="23">
        <f t="shared" si="0"/>
        <v>10833.333333333334</v>
      </c>
      <c r="P59" t="str">
        <f>IF(D59&gt;=70000,"Yes",IF(bike_buyers!D59&lt;=70000,"No"))</f>
        <v>Yes</v>
      </c>
      <c r="Q59" t="str">
        <f t="shared" si="1"/>
        <v/>
      </c>
    </row>
    <row r="60" spans="1:17" ht="14.25" customHeight="1" x14ac:dyDescent="0.2">
      <c r="A60" s="4">
        <v>25502</v>
      </c>
      <c r="B60" s="4" t="s">
        <v>26</v>
      </c>
      <c r="C60" s="4" t="s">
        <v>27</v>
      </c>
      <c r="D60" s="5">
        <v>40000</v>
      </c>
      <c r="E60" s="4">
        <v>1</v>
      </c>
      <c r="F60" s="4" t="s">
        <v>28</v>
      </c>
      <c r="G60" s="4" t="s">
        <v>29</v>
      </c>
      <c r="H60" s="4" t="s">
        <v>30</v>
      </c>
      <c r="I60" s="4">
        <v>0</v>
      </c>
      <c r="J60" s="4" t="s">
        <v>31</v>
      </c>
      <c r="K60" s="4" t="s">
        <v>32</v>
      </c>
      <c r="L60" s="4">
        <v>43</v>
      </c>
      <c r="M60" s="4" t="s">
        <v>30</v>
      </c>
      <c r="O60" s="22">
        <f t="shared" si="0"/>
        <v>3333.3333333333335</v>
      </c>
      <c r="P60" t="str">
        <f>IF(D60&gt;=70000,"Yes",IF(bike_buyers!D60&lt;=70000,"No"))</f>
        <v>No</v>
      </c>
      <c r="Q60" t="str">
        <f t="shared" si="1"/>
        <v/>
      </c>
    </row>
    <row r="61" spans="1:17" ht="14.25" customHeight="1" x14ac:dyDescent="0.2">
      <c r="A61" s="4">
        <v>15580</v>
      </c>
      <c r="B61" s="4" t="s">
        <v>26</v>
      </c>
      <c r="C61" s="4" t="s">
        <v>26</v>
      </c>
      <c r="D61" s="5">
        <v>60000</v>
      </c>
      <c r="E61" s="4">
        <v>2</v>
      </c>
      <c r="F61" s="4" t="s">
        <v>28</v>
      </c>
      <c r="G61" s="4" t="s">
        <v>36</v>
      </c>
      <c r="H61" s="4" t="s">
        <v>30</v>
      </c>
      <c r="I61" s="4">
        <v>1</v>
      </c>
      <c r="J61" s="4" t="s">
        <v>37</v>
      </c>
      <c r="K61" s="4" t="s">
        <v>40</v>
      </c>
      <c r="L61" s="4">
        <v>38</v>
      </c>
      <c r="M61" s="4" t="s">
        <v>30</v>
      </c>
      <c r="O61" s="22">
        <f t="shared" si="0"/>
        <v>5000</v>
      </c>
      <c r="P61" t="str">
        <f>IF(D61&gt;=70000,"Yes",IF(bike_buyers!D61&lt;=70000,"No"))</f>
        <v>No</v>
      </c>
      <c r="Q61" t="str">
        <f t="shared" si="1"/>
        <v/>
      </c>
    </row>
    <row r="62" spans="1:17" ht="14.25" customHeight="1" x14ac:dyDescent="0.2">
      <c r="A62" s="4">
        <v>24185</v>
      </c>
      <c r="B62" s="4" t="s">
        <v>38</v>
      </c>
      <c r="C62" s="4" t="s">
        <v>27</v>
      </c>
      <c r="D62" s="5">
        <v>10000</v>
      </c>
      <c r="E62" s="4">
        <v>1</v>
      </c>
      <c r="F62" s="4" t="s">
        <v>43</v>
      </c>
      <c r="G62" s="4" t="s">
        <v>41</v>
      </c>
      <c r="H62" s="4" t="s">
        <v>33</v>
      </c>
      <c r="I62" s="4">
        <v>1</v>
      </c>
      <c r="J62" s="4" t="s">
        <v>42</v>
      </c>
      <c r="K62" s="4" t="s">
        <v>32</v>
      </c>
      <c r="L62" s="4">
        <v>45</v>
      </c>
      <c r="M62" s="4" t="s">
        <v>33</v>
      </c>
      <c r="O62" s="22">
        <f t="shared" si="0"/>
        <v>833.33333333333337</v>
      </c>
      <c r="P62" t="str">
        <f>IF(D62&gt;=70000,"Yes",IF(bike_buyers!D62&lt;=70000,"No"))</f>
        <v>No</v>
      </c>
      <c r="Q62" t="str">
        <f t="shared" si="1"/>
        <v/>
      </c>
    </row>
    <row r="63" spans="1:17" ht="14.25" customHeight="1" x14ac:dyDescent="0.2">
      <c r="A63" s="4">
        <v>19291</v>
      </c>
      <c r="B63" s="4" t="s">
        <v>38</v>
      </c>
      <c r="C63" s="4" t="s">
        <v>27</v>
      </c>
      <c r="D63" s="5">
        <v>10000</v>
      </c>
      <c r="E63" s="4">
        <v>2</v>
      </c>
      <c r="F63" s="4" t="s">
        <v>43</v>
      </c>
      <c r="G63" s="4" t="s">
        <v>41</v>
      </c>
      <c r="H63" s="4" t="s">
        <v>30</v>
      </c>
      <c r="I63" s="4">
        <v>0</v>
      </c>
      <c r="J63" s="4" t="s">
        <v>31</v>
      </c>
      <c r="K63" s="4" t="s">
        <v>32</v>
      </c>
      <c r="L63" s="4">
        <v>35</v>
      </c>
      <c r="M63" s="4" t="s">
        <v>33</v>
      </c>
      <c r="O63" s="22">
        <f t="shared" si="0"/>
        <v>833.33333333333337</v>
      </c>
      <c r="P63" t="str">
        <f>IF(D63&gt;=70000,"Yes",IF(bike_buyers!D63&lt;=70000,"No"))</f>
        <v>No</v>
      </c>
      <c r="Q63" t="str">
        <f t="shared" si="1"/>
        <v/>
      </c>
    </row>
    <row r="64" spans="1:17" ht="14.25" customHeight="1" x14ac:dyDescent="0.2">
      <c r="A64" s="4">
        <v>16713</v>
      </c>
      <c r="B64" s="4" t="s">
        <v>26</v>
      </c>
      <c r="C64" s="4" t="s">
        <v>26</v>
      </c>
      <c r="D64" s="5">
        <v>40000</v>
      </c>
      <c r="E64" s="4">
        <v>2</v>
      </c>
      <c r="F64" s="4" t="s">
        <v>28</v>
      </c>
      <c r="G64" s="4" t="s">
        <v>44</v>
      </c>
      <c r="H64" s="4" t="s">
        <v>30</v>
      </c>
      <c r="I64" s="4">
        <v>1</v>
      </c>
      <c r="J64" s="4" t="s">
        <v>31</v>
      </c>
      <c r="K64" s="4" t="s">
        <v>40</v>
      </c>
      <c r="L64" s="4">
        <v>52</v>
      </c>
      <c r="M64" s="4" t="s">
        <v>30</v>
      </c>
      <c r="O64" s="22">
        <f t="shared" si="0"/>
        <v>3333.3333333333335</v>
      </c>
      <c r="P64" t="str">
        <f>IF(D64&gt;=70000,"Yes",IF(bike_buyers!D64&lt;=70000,"No"))</f>
        <v>No</v>
      </c>
      <c r="Q64" t="str">
        <f t="shared" si="1"/>
        <v/>
      </c>
    </row>
    <row r="65" spans="1:17" ht="14.25" customHeight="1" x14ac:dyDescent="0.2">
      <c r="A65" s="4">
        <v>16185</v>
      </c>
      <c r="B65" s="4" t="s">
        <v>38</v>
      </c>
      <c r="C65" s="4" t="s">
        <v>26</v>
      </c>
      <c r="D65" s="5">
        <v>60000</v>
      </c>
      <c r="E65" s="4">
        <v>4</v>
      </c>
      <c r="F65" s="4" t="s">
        <v>28</v>
      </c>
      <c r="G65" s="4" t="s">
        <v>36</v>
      </c>
      <c r="H65" s="4" t="s">
        <v>30</v>
      </c>
      <c r="I65" s="4">
        <v>3</v>
      </c>
      <c r="J65" s="4" t="s">
        <v>46</v>
      </c>
      <c r="K65" s="4" t="s">
        <v>40</v>
      </c>
      <c r="L65" s="4">
        <v>41</v>
      </c>
      <c r="M65" s="4" t="s">
        <v>33</v>
      </c>
      <c r="O65" s="22">
        <f t="shared" si="0"/>
        <v>5000</v>
      </c>
      <c r="P65" t="str">
        <f>IF(D65&gt;=70000,"Yes",IF(bike_buyers!D65&lt;=70000,"No"))</f>
        <v>No</v>
      </c>
      <c r="Q65" t="str">
        <f t="shared" si="1"/>
        <v/>
      </c>
    </row>
    <row r="66" spans="1:17" ht="14.25" customHeight="1" x14ac:dyDescent="0.2">
      <c r="A66" s="4">
        <v>14927</v>
      </c>
      <c r="B66" s="4" t="s">
        <v>26</v>
      </c>
      <c r="C66" s="4" t="s">
        <v>27</v>
      </c>
      <c r="D66" s="5">
        <v>30000</v>
      </c>
      <c r="E66" s="4">
        <v>1</v>
      </c>
      <c r="F66" s="4" t="s">
        <v>28</v>
      </c>
      <c r="G66" s="4" t="s">
        <v>35</v>
      </c>
      <c r="H66" s="4" t="s">
        <v>30</v>
      </c>
      <c r="I66" s="4">
        <v>0</v>
      </c>
      <c r="J66" s="4" t="s">
        <v>31</v>
      </c>
      <c r="K66" s="4" t="s">
        <v>32</v>
      </c>
      <c r="L66" s="4">
        <v>37</v>
      </c>
      <c r="M66" s="4" t="s">
        <v>30</v>
      </c>
      <c r="O66" s="22">
        <f t="shared" si="0"/>
        <v>2500</v>
      </c>
      <c r="P66" t="str">
        <f>IF(D66&gt;=70000,"Yes",IF(bike_buyers!D66&lt;=70000,"No"))</f>
        <v>No</v>
      </c>
      <c r="Q66" t="str">
        <f t="shared" si="1"/>
        <v/>
      </c>
    </row>
    <row r="67" spans="1:17" ht="14.25" customHeight="1" x14ac:dyDescent="0.2">
      <c r="A67" s="4">
        <v>29337</v>
      </c>
      <c r="B67" s="4" t="s">
        <v>38</v>
      </c>
      <c r="C67" s="4" t="s">
        <v>26</v>
      </c>
      <c r="D67" s="5">
        <v>30000</v>
      </c>
      <c r="E67" s="4">
        <v>2</v>
      </c>
      <c r="F67" s="4" t="s">
        <v>34</v>
      </c>
      <c r="G67" s="4" t="s">
        <v>35</v>
      </c>
      <c r="H67" s="4" t="s">
        <v>30</v>
      </c>
      <c r="I67" s="4">
        <v>2</v>
      </c>
      <c r="J67" s="4" t="s">
        <v>39</v>
      </c>
      <c r="K67" s="4" t="s">
        <v>40</v>
      </c>
      <c r="L67" s="4">
        <v>68</v>
      </c>
      <c r="M67" s="4" t="s">
        <v>33</v>
      </c>
      <c r="O67" s="22">
        <f t="shared" ref="O67:O130" si="2">D67/12</f>
        <v>2500</v>
      </c>
      <c r="P67" t="str">
        <f>IF(D67&gt;=70000,"Yes",IF(bike_buyers!D67&lt;=70000,"No"))</f>
        <v>No</v>
      </c>
      <c r="Q67" t="str">
        <f t="shared" si="1"/>
        <v/>
      </c>
    </row>
    <row r="68" spans="1:17" ht="14.25" customHeight="1" x14ac:dyDescent="0.2">
      <c r="A68" s="4">
        <v>29355</v>
      </c>
      <c r="B68" s="4" t="s">
        <v>26</v>
      </c>
      <c r="C68" s="4" t="s">
        <v>27</v>
      </c>
      <c r="D68" s="5">
        <v>40000</v>
      </c>
      <c r="E68" s="4">
        <v>0</v>
      </c>
      <c r="F68" s="4" t="s">
        <v>47</v>
      </c>
      <c r="G68" s="4" t="s">
        <v>35</v>
      </c>
      <c r="H68" s="4" t="s">
        <v>30</v>
      </c>
      <c r="I68" s="4">
        <v>0</v>
      </c>
      <c r="J68" s="4" t="s">
        <v>31</v>
      </c>
      <c r="K68" s="4" t="s">
        <v>32</v>
      </c>
      <c r="L68" s="4">
        <v>37</v>
      </c>
      <c r="M68" s="4" t="s">
        <v>30</v>
      </c>
      <c r="O68" s="22">
        <f t="shared" si="2"/>
        <v>3333.3333333333335</v>
      </c>
      <c r="P68" t="str">
        <f>IF(D68&gt;=70000,"Yes",IF(bike_buyers!D68&lt;=70000,"No"))</f>
        <v>No</v>
      </c>
      <c r="Q68" t="str">
        <f t="shared" ref="Q68:Q131" si="3">IF(AND(D67&gt;70000, L67&lt;40, M67="No"),"Yes", "")</f>
        <v/>
      </c>
    </row>
    <row r="69" spans="1:17" ht="14.25" customHeight="1" x14ac:dyDescent="0.2">
      <c r="A69" s="4">
        <v>25303</v>
      </c>
      <c r="B69" s="4" t="s">
        <v>38</v>
      </c>
      <c r="C69" s="4" t="s">
        <v>26</v>
      </c>
      <c r="D69" s="5">
        <v>30000</v>
      </c>
      <c r="E69" s="4">
        <v>0</v>
      </c>
      <c r="F69" s="4" t="s">
        <v>43</v>
      </c>
      <c r="G69" s="4" t="s">
        <v>41</v>
      </c>
      <c r="H69" s="4" t="s">
        <v>30</v>
      </c>
      <c r="I69" s="4">
        <v>1</v>
      </c>
      <c r="J69" s="4" t="s">
        <v>37</v>
      </c>
      <c r="K69" s="4" t="s">
        <v>32</v>
      </c>
      <c r="L69" s="4">
        <v>33</v>
      </c>
      <c r="M69" s="4" t="s">
        <v>30</v>
      </c>
      <c r="O69" s="22">
        <f t="shared" si="2"/>
        <v>2500</v>
      </c>
      <c r="P69" t="str">
        <f>IF(D69&gt;=70000,"Yes",IF(bike_buyers!D69&lt;=70000,"No"))</f>
        <v>No</v>
      </c>
      <c r="Q69" t="str">
        <f t="shared" si="3"/>
        <v/>
      </c>
    </row>
    <row r="70" spans="1:17" ht="14.25" customHeight="1" x14ac:dyDescent="0.2">
      <c r="A70" s="4">
        <v>14813</v>
      </c>
      <c r="B70" s="4" t="s">
        <v>38</v>
      </c>
      <c r="C70" s="4" t="s">
        <v>27</v>
      </c>
      <c r="D70" s="5">
        <v>20000</v>
      </c>
      <c r="E70" s="4">
        <v>4</v>
      </c>
      <c r="F70" s="4" t="s">
        <v>43</v>
      </c>
      <c r="G70" s="4" t="s">
        <v>41</v>
      </c>
      <c r="H70" s="4" t="s">
        <v>30</v>
      </c>
      <c r="I70" s="4">
        <v>1</v>
      </c>
      <c r="J70" s="4" t="s">
        <v>31</v>
      </c>
      <c r="K70" s="4" t="s">
        <v>32</v>
      </c>
      <c r="L70" s="4">
        <v>43</v>
      </c>
      <c r="M70" s="4" t="s">
        <v>30</v>
      </c>
      <c r="O70" s="22">
        <f t="shared" si="2"/>
        <v>1666.6666666666667</v>
      </c>
      <c r="P70" t="str">
        <f>IF(D70&gt;=70000,"Yes",IF(bike_buyers!D70&lt;=70000,"No"))</f>
        <v>No</v>
      </c>
      <c r="Q70" t="str">
        <f t="shared" si="3"/>
        <v/>
      </c>
    </row>
    <row r="71" spans="1:17" ht="14.25" customHeight="1" x14ac:dyDescent="0.2">
      <c r="A71" s="4">
        <v>16438</v>
      </c>
      <c r="B71" s="4" t="s">
        <v>26</v>
      </c>
      <c r="C71" s="4" t="s">
        <v>27</v>
      </c>
      <c r="D71" s="5">
        <v>10000</v>
      </c>
      <c r="E71" s="4">
        <v>0</v>
      </c>
      <c r="F71" s="4" t="s">
        <v>45</v>
      </c>
      <c r="G71" s="4" t="s">
        <v>41</v>
      </c>
      <c r="H71" s="4" t="s">
        <v>33</v>
      </c>
      <c r="I71" s="4">
        <v>2</v>
      </c>
      <c r="J71" s="4" t="s">
        <v>31</v>
      </c>
      <c r="K71" s="4" t="s">
        <v>32</v>
      </c>
      <c r="L71" s="4">
        <v>30</v>
      </c>
      <c r="M71" s="4" t="s">
        <v>33</v>
      </c>
      <c r="O71" s="22">
        <f t="shared" si="2"/>
        <v>833.33333333333337</v>
      </c>
      <c r="P71" t="str">
        <f>IF(D71&gt;=70000,"Yes",IF(bike_buyers!D71&lt;=70000,"No"))</f>
        <v>No</v>
      </c>
      <c r="Q71" t="str">
        <f t="shared" si="3"/>
        <v/>
      </c>
    </row>
    <row r="72" spans="1:17" ht="14.25" customHeight="1" x14ac:dyDescent="0.2">
      <c r="A72" s="6">
        <v>14238</v>
      </c>
      <c r="B72" s="6" t="s">
        <v>26</v>
      </c>
      <c r="C72" s="6" t="s">
        <v>26</v>
      </c>
      <c r="D72" s="7">
        <v>120000</v>
      </c>
      <c r="E72" s="6">
        <v>0</v>
      </c>
      <c r="F72" s="6" t="s">
        <v>45</v>
      </c>
      <c r="G72" s="6" t="s">
        <v>36</v>
      </c>
      <c r="H72" s="6" t="s">
        <v>30</v>
      </c>
      <c r="I72" s="6">
        <v>4</v>
      </c>
      <c r="J72" s="6" t="s">
        <v>46</v>
      </c>
      <c r="K72" s="6" t="s">
        <v>40</v>
      </c>
      <c r="L72" s="6">
        <v>36</v>
      </c>
      <c r="M72" s="6" t="s">
        <v>30</v>
      </c>
      <c r="N72" s="8"/>
      <c r="O72" s="23">
        <f t="shared" si="2"/>
        <v>10000</v>
      </c>
      <c r="P72" t="str">
        <f>IF(D72&gt;=70000,"Yes",IF(bike_buyers!D72&lt;=70000,"No"))</f>
        <v>Yes</v>
      </c>
      <c r="Q72" t="str">
        <f t="shared" si="3"/>
        <v/>
      </c>
    </row>
    <row r="73" spans="1:17" ht="14.25" customHeight="1" x14ac:dyDescent="0.2">
      <c r="A73" s="4">
        <v>16200</v>
      </c>
      <c r="B73" s="4" t="s">
        <v>38</v>
      </c>
      <c r="C73" s="4" t="s">
        <v>27</v>
      </c>
      <c r="D73" s="5">
        <v>10000</v>
      </c>
      <c r="E73" s="4">
        <v>0</v>
      </c>
      <c r="F73" s="4" t="s">
        <v>45</v>
      </c>
      <c r="G73" s="4" t="s">
        <v>41</v>
      </c>
      <c r="H73" s="4" t="s">
        <v>33</v>
      </c>
      <c r="I73" s="4">
        <v>2</v>
      </c>
      <c r="J73" s="4" t="s">
        <v>31</v>
      </c>
      <c r="K73" s="4" t="s">
        <v>32</v>
      </c>
      <c r="L73" s="4">
        <v>35</v>
      </c>
      <c r="M73" s="4" t="s">
        <v>33</v>
      </c>
      <c r="O73" s="22">
        <f t="shared" si="2"/>
        <v>833.33333333333337</v>
      </c>
      <c r="P73" t="str">
        <f>IF(D73&gt;=70000,"Yes",IF(bike_buyers!D73&lt;=70000,"No"))</f>
        <v>No</v>
      </c>
      <c r="Q73" t="str">
        <f t="shared" si="3"/>
        <v/>
      </c>
    </row>
    <row r="74" spans="1:17" ht="14.25" customHeight="1" x14ac:dyDescent="0.2">
      <c r="A74" s="6">
        <v>24857</v>
      </c>
      <c r="B74" s="6" t="s">
        <v>26</v>
      </c>
      <c r="C74" s="6" t="s">
        <v>27</v>
      </c>
      <c r="D74" s="7">
        <v>130000</v>
      </c>
      <c r="E74" s="6">
        <v>3</v>
      </c>
      <c r="F74" s="6" t="s">
        <v>43</v>
      </c>
      <c r="G74" s="6" t="s">
        <v>36</v>
      </c>
      <c r="H74" s="6" t="s">
        <v>30</v>
      </c>
      <c r="I74" s="6">
        <v>4</v>
      </c>
      <c r="J74" s="6" t="s">
        <v>31</v>
      </c>
      <c r="K74" s="6" t="s">
        <v>32</v>
      </c>
      <c r="L74" s="6">
        <v>52</v>
      </c>
      <c r="M74" s="6" t="s">
        <v>33</v>
      </c>
      <c r="N74" s="8"/>
      <c r="O74" s="23">
        <f t="shared" si="2"/>
        <v>10833.333333333334</v>
      </c>
      <c r="P74" t="str">
        <f>IF(D74&gt;=70000,"Yes",IF(bike_buyers!D74&lt;=70000,"No"))</f>
        <v>Yes</v>
      </c>
      <c r="Q74" t="str">
        <f t="shared" si="3"/>
        <v/>
      </c>
    </row>
    <row r="75" spans="1:17" ht="14.25" customHeight="1" x14ac:dyDescent="0.2">
      <c r="A75" s="4">
        <v>26956</v>
      </c>
      <c r="B75" s="4" t="s">
        <v>38</v>
      </c>
      <c r="C75" s="4" t="s">
        <v>27</v>
      </c>
      <c r="D75" s="5">
        <v>20000</v>
      </c>
      <c r="E75" s="4">
        <v>0</v>
      </c>
      <c r="F75" s="4" t="s">
        <v>34</v>
      </c>
      <c r="G75" s="4" t="s">
        <v>41</v>
      </c>
      <c r="H75" s="4" t="s">
        <v>33</v>
      </c>
      <c r="I75" s="4">
        <v>1</v>
      </c>
      <c r="J75" s="4" t="s">
        <v>37</v>
      </c>
      <c r="K75" s="4" t="s">
        <v>32</v>
      </c>
      <c r="L75" s="4">
        <v>36</v>
      </c>
      <c r="M75" s="4" t="s">
        <v>30</v>
      </c>
      <c r="O75" s="22">
        <f t="shared" si="2"/>
        <v>1666.6666666666667</v>
      </c>
      <c r="P75" t="str">
        <f>IF(D75&gt;=70000,"Yes",IF(bike_buyers!D75&lt;=70000,"No"))</f>
        <v>No</v>
      </c>
      <c r="Q75" t="str">
        <f t="shared" si="3"/>
        <v/>
      </c>
    </row>
    <row r="76" spans="1:17" ht="14.25" customHeight="1" x14ac:dyDescent="0.2">
      <c r="A76" s="4">
        <v>14517</v>
      </c>
      <c r="B76" s="4" t="s">
        <v>26</v>
      </c>
      <c r="C76" s="4" t="s">
        <v>27</v>
      </c>
      <c r="D76" s="5">
        <v>20000</v>
      </c>
      <c r="E76" s="4">
        <v>3</v>
      </c>
      <c r="F76" s="4" t="s">
        <v>43</v>
      </c>
      <c r="G76" s="4" t="s">
        <v>29</v>
      </c>
      <c r="H76" s="4" t="s">
        <v>33</v>
      </c>
      <c r="I76" s="4">
        <v>2</v>
      </c>
      <c r="J76" s="4" t="s">
        <v>42</v>
      </c>
      <c r="K76" s="4" t="s">
        <v>40</v>
      </c>
      <c r="L76" s="4">
        <v>62</v>
      </c>
      <c r="M76" s="4" t="s">
        <v>33</v>
      </c>
      <c r="O76" s="22">
        <f t="shared" si="2"/>
        <v>1666.6666666666667</v>
      </c>
      <c r="P76" t="str">
        <f>IF(D76&gt;=70000,"Yes",IF(bike_buyers!D76&lt;=70000,"No"))</f>
        <v>No</v>
      </c>
      <c r="Q76" t="str">
        <f t="shared" si="3"/>
        <v/>
      </c>
    </row>
    <row r="77" spans="1:17" ht="14.25" customHeight="1" x14ac:dyDescent="0.2">
      <c r="A77" s="6">
        <v>12678</v>
      </c>
      <c r="B77" s="6" t="s">
        <v>38</v>
      </c>
      <c r="C77" s="6" t="s">
        <v>27</v>
      </c>
      <c r="D77" s="7">
        <v>130000</v>
      </c>
      <c r="E77" s="6">
        <v>4</v>
      </c>
      <c r="F77" s="6" t="s">
        <v>43</v>
      </c>
      <c r="G77" s="6" t="s">
        <v>44</v>
      </c>
      <c r="H77" s="6" t="s">
        <v>30</v>
      </c>
      <c r="I77" s="6">
        <v>4</v>
      </c>
      <c r="J77" s="6" t="s">
        <v>31</v>
      </c>
      <c r="K77" s="6" t="s">
        <v>40</v>
      </c>
      <c r="L77" s="6">
        <v>31</v>
      </c>
      <c r="M77" s="6" t="s">
        <v>33</v>
      </c>
      <c r="N77" s="8"/>
      <c r="O77" s="23">
        <f t="shared" si="2"/>
        <v>10833.333333333334</v>
      </c>
      <c r="P77" t="str">
        <f>IF(D77&gt;=70000,"Yes",IF(bike_buyers!D77&lt;=70000,"No"))</f>
        <v>Yes</v>
      </c>
      <c r="Q77" t="str">
        <f t="shared" si="3"/>
        <v/>
      </c>
    </row>
    <row r="78" spans="1:17" ht="14.25" customHeight="1" x14ac:dyDescent="0.2">
      <c r="A78" s="9">
        <v>16188</v>
      </c>
      <c r="B78" s="9" t="s">
        <v>38</v>
      </c>
      <c r="C78" s="9" t="s">
        <v>27</v>
      </c>
      <c r="D78" s="10">
        <v>20000</v>
      </c>
      <c r="E78" s="9">
        <v>0</v>
      </c>
      <c r="F78" s="9" t="s">
        <v>45</v>
      </c>
      <c r="G78" s="9" t="s">
        <v>41</v>
      </c>
      <c r="H78" s="9" t="s">
        <v>33</v>
      </c>
      <c r="I78" s="9">
        <v>2</v>
      </c>
      <c r="J78" s="9" t="s">
        <v>42</v>
      </c>
      <c r="K78" s="9" t="s">
        <v>32</v>
      </c>
      <c r="L78" s="9">
        <v>26</v>
      </c>
      <c r="M78" s="9" t="s">
        <v>33</v>
      </c>
      <c r="N78" s="11"/>
      <c r="O78" s="24">
        <f t="shared" si="2"/>
        <v>1666.6666666666667</v>
      </c>
      <c r="P78" t="str">
        <f>IF(D78&gt;=70000,"Yes",IF(bike_buyers!D78&lt;=70000,"No"))</f>
        <v>No</v>
      </c>
      <c r="Q78" t="str">
        <f t="shared" si="3"/>
        <v>Yes</v>
      </c>
    </row>
    <row r="79" spans="1:17" ht="14.25" customHeight="1" x14ac:dyDescent="0.2">
      <c r="A79" s="4">
        <v>27969</v>
      </c>
      <c r="B79" s="4" t="s">
        <v>26</v>
      </c>
      <c r="C79" s="4" t="s">
        <v>26</v>
      </c>
      <c r="D79" s="5">
        <v>80000</v>
      </c>
      <c r="E79" s="4">
        <v>0</v>
      </c>
      <c r="F79" s="4" t="s">
        <v>28</v>
      </c>
      <c r="G79" s="4" t="s">
        <v>36</v>
      </c>
      <c r="H79" s="4" t="s">
        <v>30</v>
      </c>
      <c r="I79" s="4">
        <v>2</v>
      </c>
      <c r="J79" s="4" t="s">
        <v>46</v>
      </c>
      <c r="K79" s="4" t="s">
        <v>40</v>
      </c>
      <c r="L79" s="4">
        <v>29</v>
      </c>
      <c r="M79" s="4" t="s">
        <v>30</v>
      </c>
      <c r="O79" s="22">
        <f t="shared" si="2"/>
        <v>6666.666666666667</v>
      </c>
      <c r="P79" t="str">
        <f>IF(D79&gt;=70000,"Yes",IF(bike_buyers!D79&lt;=70000,"No"))</f>
        <v>Yes</v>
      </c>
      <c r="Q79" t="str">
        <f t="shared" si="3"/>
        <v/>
      </c>
    </row>
    <row r="80" spans="1:17" ht="14.25" customHeight="1" x14ac:dyDescent="0.2">
      <c r="A80" s="4">
        <v>15752</v>
      </c>
      <c r="B80" s="4" t="s">
        <v>26</v>
      </c>
      <c r="C80" s="4" t="s">
        <v>26</v>
      </c>
      <c r="D80" s="5">
        <v>80000</v>
      </c>
      <c r="E80" s="4">
        <v>2</v>
      </c>
      <c r="F80" s="4" t="s">
        <v>43</v>
      </c>
      <c r="G80" s="4" t="s">
        <v>29</v>
      </c>
      <c r="H80" s="4" t="s">
        <v>33</v>
      </c>
      <c r="I80" s="4">
        <v>2</v>
      </c>
      <c r="J80" s="4" t="s">
        <v>42</v>
      </c>
      <c r="K80" s="4" t="s">
        <v>40</v>
      </c>
      <c r="L80" s="4">
        <v>50</v>
      </c>
      <c r="M80" s="4" t="s">
        <v>30</v>
      </c>
      <c r="O80" s="22">
        <f t="shared" si="2"/>
        <v>6666.666666666667</v>
      </c>
      <c r="P80" t="str">
        <f>IF(D80&gt;=70000,"Yes",IF(bike_buyers!D80&lt;=70000,"No"))</f>
        <v>Yes</v>
      </c>
      <c r="Q80" t="str">
        <f t="shared" si="3"/>
        <v/>
      </c>
    </row>
    <row r="81" spans="1:17" ht="14.25" customHeight="1" x14ac:dyDescent="0.2">
      <c r="A81" s="4">
        <v>27745</v>
      </c>
      <c r="B81" s="4" t="s">
        <v>38</v>
      </c>
      <c r="C81" s="4" t="s">
        <v>26</v>
      </c>
      <c r="D81" s="5">
        <v>40000</v>
      </c>
      <c r="E81" s="4">
        <v>2</v>
      </c>
      <c r="F81" s="4" t="s">
        <v>28</v>
      </c>
      <c r="G81" s="4" t="s">
        <v>44</v>
      </c>
      <c r="H81" s="4" t="s">
        <v>30</v>
      </c>
      <c r="I81" s="4">
        <v>2</v>
      </c>
      <c r="J81" s="4" t="s">
        <v>39</v>
      </c>
      <c r="K81" s="4" t="s">
        <v>40</v>
      </c>
      <c r="L81" s="4">
        <v>63</v>
      </c>
      <c r="M81" s="4" t="s">
        <v>30</v>
      </c>
      <c r="O81" s="22">
        <f t="shared" si="2"/>
        <v>3333.3333333333335</v>
      </c>
      <c r="P81" t="str">
        <f>IF(D81&gt;=70000,"Yes",IF(bike_buyers!D81&lt;=70000,"No"))</f>
        <v>No</v>
      </c>
      <c r="Q81" t="str">
        <f t="shared" si="3"/>
        <v/>
      </c>
    </row>
    <row r="82" spans="1:17" ht="14.25" customHeight="1" x14ac:dyDescent="0.2">
      <c r="A82" s="4">
        <v>20828</v>
      </c>
      <c r="B82" s="4" t="s">
        <v>26</v>
      </c>
      <c r="C82" s="4" t="s">
        <v>27</v>
      </c>
      <c r="D82" s="5">
        <v>30000</v>
      </c>
      <c r="E82" s="4">
        <v>4</v>
      </c>
      <c r="F82" s="4" t="s">
        <v>47</v>
      </c>
      <c r="G82" s="4" t="s">
        <v>35</v>
      </c>
      <c r="H82" s="4" t="s">
        <v>30</v>
      </c>
      <c r="I82" s="4">
        <v>0</v>
      </c>
      <c r="J82" s="4" t="s">
        <v>31</v>
      </c>
      <c r="K82" s="4" t="s">
        <v>32</v>
      </c>
      <c r="L82" s="4">
        <v>45</v>
      </c>
      <c r="M82" s="4" t="s">
        <v>30</v>
      </c>
      <c r="O82" s="22">
        <f t="shared" si="2"/>
        <v>2500</v>
      </c>
      <c r="P82" t="str">
        <f>IF(D82&gt;=70000,"Yes",IF(bike_buyers!D82&lt;=70000,"No"))</f>
        <v>No</v>
      </c>
      <c r="Q82" t="str">
        <f t="shared" si="3"/>
        <v/>
      </c>
    </row>
    <row r="83" spans="1:17" ht="14.25" customHeight="1" x14ac:dyDescent="0.2">
      <c r="A83" s="4">
        <v>19461</v>
      </c>
      <c r="B83" s="4" t="s">
        <v>38</v>
      </c>
      <c r="C83" s="4" t="s">
        <v>27</v>
      </c>
      <c r="D83" s="5">
        <v>10000</v>
      </c>
      <c r="E83" s="4">
        <v>4</v>
      </c>
      <c r="F83" s="4" t="s">
        <v>45</v>
      </c>
      <c r="G83" s="4" t="s">
        <v>41</v>
      </c>
      <c r="H83" s="4" t="s">
        <v>30</v>
      </c>
      <c r="I83" s="4">
        <v>2</v>
      </c>
      <c r="J83" s="4" t="s">
        <v>31</v>
      </c>
      <c r="K83" s="4" t="s">
        <v>32</v>
      </c>
      <c r="L83" s="4">
        <v>40</v>
      </c>
      <c r="M83" s="4" t="s">
        <v>33</v>
      </c>
      <c r="O83" s="22">
        <f t="shared" si="2"/>
        <v>833.33333333333337</v>
      </c>
      <c r="P83" t="str">
        <f>IF(D83&gt;=70000,"Yes",IF(bike_buyers!D83&lt;=70000,"No"))</f>
        <v>No</v>
      </c>
      <c r="Q83" t="str">
        <f t="shared" si="3"/>
        <v/>
      </c>
    </row>
    <row r="84" spans="1:17" ht="14.25" customHeight="1" x14ac:dyDescent="0.2">
      <c r="A84" s="4">
        <v>26941</v>
      </c>
      <c r="B84" s="4" t="s">
        <v>26</v>
      </c>
      <c r="C84" s="4" t="s">
        <v>26</v>
      </c>
      <c r="D84" s="5">
        <v>30000</v>
      </c>
      <c r="E84" s="4">
        <v>0</v>
      </c>
      <c r="F84" s="4" t="s">
        <v>28</v>
      </c>
      <c r="G84" s="4" t="s">
        <v>35</v>
      </c>
      <c r="H84" s="4" t="s">
        <v>30</v>
      </c>
      <c r="I84" s="4">
        <v>0</v>
      </c>
      <c r="J84" s="4" t="s">
        <v>31</v>
      </c>
      <c r="K84" s="4" t="s">
        <v>32</v>
      </c>
      <c r="L84" s="4">
        <v>47</v>
      </c>
      <c r="M84" s="4" t="s">
        <v>30</v>
      </c>
      <c r="O84" s="22">
        <f t="shared" si="2"/>
        <v>2500</v>
      </c>
      <c r="P84" t="str">
        <f>IF(D84&gt;=70000,"Yes",IF(bike_buyers!D84&lt;=70000,"No"))</f>
        <v>No</v>
      </c>
      <c r="Q84" t="str">
        <f t="shared" si="3"/>
        <v/>
      </c>
    </row>
    <row r="85" spans="1:17" ht="14.25" customHeight="1" x14ac:dyDescent="0.2">
      <c r="A85" s="9">
        <v>28412</v>
      </c>
      <c r="B85" s="9" t="s">
        <v>38</v>
      </c>
      <c r="C85" s="9" t="s">
        <v>26</v>
      </c>
      <c r="D85" s="10">
        <v>20000</v>
      </c>
      <c r="E85" s="9">
        <v>0</v>
      </c>
      <c r="F85" s="9" t="s">
        <v>43</v>
      </c>
      <c r="G85" s="9" t="s">
        <v>41</v>
      </c>
      <c r="H85" s="9" t="s">
        <v>33</v>
      </c>
      <c r="I85" s="9">
        <v>1</v>
      </c>
      <c r="J85" s="9" t="s">
        <v>37</v>
      </c>
      <c r="K85" s="9" t="s">
        <v>32</v>
      </c>
      <c r="L85" s="9">
        <v>29</v>
      </c>
      <c r="M85" s="9" t="s">
        <v>33</v>
      </c>
      <c r="N85" s="11"/>
      <c r="O85" s="24">
        <f t="shared" si="2"/>
        <v>1666.6666666666667</v>
      </c>
      <c r="P85" t="str">
        <f>IF(D85&gt;=70000,"Yes",IF(bike_buyers!D85&lt;=70000,"No"))</f>
        <v>No</v>
      </c>
      <c r="Q85" t="str">
        <f t="shared" si="3"/>
        <v/>
      </c>
    </row>
    <row r="86" spans="1:17" ht="14.25" customHeight="1" x14ac:dyDescent="0.2">
      <c r="A86" s="4">
        <v>24485</v>
      </c>
      <c r="B86" s="4" t="s">
        <v>38</v>
      </c>
      <c r="C86" s="4" t="s">
        <v>26</v>
      </c>
      <c r="D86" s="5">
        <v>40000</v>
      </c>
      <c r="E86" s="4">
        <v>2</v>
      </c>
      <c r="F86" s="4" t="s">
        <v>28</v>
      </c>
      <c r="G86" s="4" t="s">
        <v>44</v>
      </c>
      <c r="H86" s="4" t="s">
        <v>33</v>
      </c>
      <c r="I86" s="4">
        <v>1</v>
      </c>
      <c r="J86" s="4" t="s">
        <v>39</v>
      </c>
      <c r="K86" s="4" t="s">
        <v>40</v>
      </c>
      <c r="L86" s="4">
        <v>52</v>
      </c>
      <c r="M86" s="4" t="s">
        <v>30</v>
      </c>
      <c r="O86" s="22">
        <f t="shared" si="2"/>
        <v>3333.3333333333335</v>
      </c>
      <c r="P86" t="str">
        <f>IF(D86&gt;=70000,"Yes",IF(bike_buyers!D86&lt;=70000,"No"))</f>
        <v>No</v>
      </c>
      <c r="Q86" t="str">
        <f t="shared" si="3"/>
        <v/>
      </c>
    </row>
    <row r="87" spans="1:17" ht="14.25" customHeight="1" x14ac:dyDescent="0.2">
      <c r="A87" s="4">
        <v>16514</v>
      </c>
      <c r="B87" s="4" t="s">
        <v>38</v>
      </c>
      <c r="C87" s="4" t="s">
        <v>26</v>
      </c>
      <c r="D87" s="5">
        <v>10000</v>
      </c>
      <c r="E87" s="4">
        <v>0</v>
      </c>
      <c r="F87" s="4" t="s">
        <v>34</v>
      </c>
      <c r="G87" s="4" t="s">
        <v>41</v>
      </c>
      <c r="H87" s="4" t="s">
        <v>30</v>
      </c>
      <c r="I87" s="4">
        <v>1</v>
      </c>
      <c r="J87" s="4" t="s">
        <v>42</v>
      </c>
      <c r="K87" s="4" t="s">
        <v>40</v>
      </c>
      <c r="L87" s="4">
        <v>26</v>
      </c>
      <c r="M87" s="4" t="s">
        <v>30</v>
      </c>
      <c r="O87" s="22">
        <f t="shared" si="2"/>
        <v>833.33333333333337</v>
      </c>
      <c r="P87" t="str">
        <f>IF(D87&gt;=70000,"Yes",IF(bike_buyers!D87&lt;=70000,"No"))</f>
        <v>No</v>
      </c>
      <c r="Q87" t="str">
        <f t="shared" si="3"/>
        <v/>
      </c>
    </row>
    <row r="88" spans="1:17" ht="14.25" customHeight="1" x14ac:dyDescent="0.2">
      <c r="A88" s="6">
        <v>17191</v>
      </c>
      <c r="B88" s="6" t="s">
        <v>38</v>
      </c>
      <c r="C88" s="6" t="s">
        <v>26</v>
      </c>
      <c r="D88" s="7">
        <v>130000</v>
      </c>
      <c r="E88" s="6">
        <v>3</v>
      </c>
      <c r="F88" s="6" t="s">
        <v>34</v>
      </c>
      <c r="G88" s="6" t="s">
        <v>36</v>
      </c>
      <c r="H88" s="6" t="s">
        <v>33</v>
      </c>
      <c r="I88" s="6">
        <v>3</v>
      </c>
      <c r="J88" s="6" t="s">
        <v>31</v>
      </c>
      <c r="K88" s="6" t="s">
        <v>32</v>
      </c>
      <c r="L88" s="6">
        <v>51</v>
      </c>
      <c r="M88" s="6" t="s">
        <v>30</v>
      </c>
      <c r="N88" s="8"/>
      <c r="O88" s="23">
        <f t="shared" si="2"/>
        <v>10833.333333333334</v>
      </c>
      <c r="P88" t="str">
        <f>IF(D88&gt;=70000,"Yes",IF(bike_buyers!D88&lt;=70000,"No"))</f>
        <v>Yes</v>
      </c>
      <c r="Q88" t="str">
        <f t="shared" si="3"/>
        <v/>
      </c>
    </row>
    <row r="89" spans="1:17" ht="14.25" customHeight="1" x14ac:dyDescent="0.2">
      <c r="A89" s="4">
        <v>19608</v>
      </c>
      <c r="B89" s="4" t="s">
        <v>26</v>
      </c>
      <c r="C89" s="4" t="s">
        <v>26</v>
      </c>
      <c r="D89" s="5">
        <v>80000</v>
      </c>
      <c r="E89" s="4">
        <v>5</v>
      </c>
      <c r="F89" s="4" t="s">
        <v>28</v>
      </c>
      <c r="G89" s="4" t="s">
        <v>36</v>
      </c>
      <c r="H89" s="4" t="s">
        <v>30</v>
      </c>
      <c r="I89" s="4">
        <v>4</v>
      </c>
      <c r="J89" s="4" t="s">
        <v>42</v>
      </c>
      <c r="K89" s="4" t="s">
        <v>40</v>
      </c>
      <c r="L89" s="4">
        <v>40</v>
      </c>
      <c r="M89" s="4" t="s">
        <v>33</v>
      </c>
      <c r="O89" s="22">
        <f t="shared" si="2"/>
        <v>6666.666666666667</v>
      </c>
      <c r="P89" t="str">
        <f>IF(D89&gt;=70000,"Yes",IF(bike_buyers!D89&lt;=70000,"No"))</f>
        <v>Yes</v>
      </c>
      <c r="Q89" t="str">
        <f t="shared" si="3"/>
        <v/>
      </c>
    </row>
    <row r="90" spans="1:17" ht="14.25" customHeight="1" x14ac:dyDescent="0.2">
      <c r="A90" s="9">
        <v>24119</v>
      </c>
      <c r="B90" s="9" t="s">
        <v>38</v>
      </c>
      <c r="C90" s="9" t="s">
        <v>26</v>
      </c>
      <c r="D90" s="10">
        <v>30000</v>
      </c>
      <c r="E90" s="9">
        <v>0</v>
      </c>
      <c r="F90" s="9" t="s">
        <v>34</v>
      </c>
      <c r="G90" s="9" t="s">
        <v>35</v>
      </c>
      <c r="H90" s="9" t="s">
        <v>33</v>
      </c>
      <c r="I90" s="9">
        <v>1</v>
      </c>
      <c r="J90" s="9" t="s">
        <v>37</v>
      </c>
      <c r="K90" s="9" t="s">
        <v>32</v>
      </c>
      <c r="L90" s="9">
        <v>29</v>
      </c>
      <c r="M90" s="9" t="s">
        <v>33</v>
      </c>
      <c r="N90" s="11"/>
      <c r="O90" s="24">
        <f t="shared" si="2"/>
        <v>2500</v>
      </c>
      <c r="P90" t="str">
        <f>IF(D90&gt;=70000,"Yes",IF(bike_buyers!D90&lt;=70000,"No"))</f>
        <v>No</v>
      </c>
      <c r="Q90" t="str">
        <f t="shared" si="3"/>
        <v/>
      </c>
    </row>
    <row r="91" spans="1:17" ht="14.25" customHeight="1" x14ac:dyDescent="0.2">
      <c r="A91" s="4">
        <v>25458</v>
      </c>
      <c r="B91" s="4" t="s">
        <v>26</v>
      </c>
      <c r="C91" s="4" t="s">
        <v>26</v>
      </c>
      <c r="D91" s="5">
        <v>20000</v>
      </c>
      <c r="E91" s="4">
        <v>1</v>
      </c>
      <c r="F91" s="4" t="s">
        <v>43</v>
      </c>
      <c r="G91" s="4" t="s">
        <v>41</v>
      </c>
      <c r="H91" s="4" t="s">
        <v>33</v>
      </c>
      <c r="I91" s="4">
        <v>1</v>
      </c>
      <c r="J91" s="4" t="s">
        <v>42</v>
      </c>
      <c r="K91" s="4" t="s">
        <v>32</v>
      </c>
      <c r="L91" s="4">
        <v>40</v>
      </c>
      <c r="M91" s="4" t="s">
        <v>30</v>
      </c>
      <c r="O91" s="22">
        <f t="shared" si="2"/>
        <v>1666.6666666666667</v>
      </c>
      <c r="P91" t="str">
        <f>IF(D91&gt;=70000,"Yes",IF(bike_buyers!D91&lt;=70000,"No"))</f>
        <v>No</v>
      </c>
      <c r="Q91" t="str">
        <f t="shared" si="3"/>
        <v/>
      </c>
    </row>
    <row r="92" spans="1:17" ht="14.25" customHeight="1" x14ac:dyDescent="0.2">
      <c r="A92" s="4">
        <v>26886</v>
      </c>
      <c r="B92" s="4" t="s">
        <v>38</v>
      </c>
      <c r="C92" s="4" t="s">
        <v>27</v>
      </c>
      <c r="D92" s="5">
        <v>30000</v>
      </c>
      <c r="E92" s="4">
        <v>0</v>
      </c>
      <c r="F92" s="4" t="s">
        <v>34</v>
      </c>
      <c r="G92" s="4" t="s">
        <v>35</v>
      </c>
      <c r="H92" s="4" t="s">
        <v>33</v>
      </c>
      <c r="I92" s="4">
        <v>1</v>
      </c>
      <c r="J92" s="4" t="s">
        <v>31</v>
      </c>
      <c r="K92" s="4" t="s">
        <v>32</v>
      </c>
      <c r="L92" s="4">
        <v>29</v>
      </c>
      <c r="M92" s="4" t="s">
        <v>30</v>
      </c>
      <c r="O92" s="22">
        <f t="shared" si="2"/>
        <v>2500</v>
      </c>
      <c r="P92" t="str">
        <f>IF(D92&gt;=70000,"Yes",IF(bike_buyers!D92&lt;=70000,"No"))</f>
        <v>No</v>
      </c>
      <c r="Q92" t="str">
        <f t="shared" si="3"/>
        <v/>
      </c>
    </row>
    <row r="93" spans="1:17" ht="14.25" customHeight="1" x14ac:dyDescent="0.2">
      <c r="A93" s="4">
        <v>28436</v>
      </c>
      <c r="B93" s="4" t="s">
        <v>38</v>
      </c>
      <c r="C93" s="4" t="s">
        <v>26</v>
      </c>
      <c r="D93" s="5">
        <v>30000</v>
      </c>
      <c r="E93" s="4">
        <v>0</v>
      </c>
      <c r="F93" s="4" t="s">
        <v>34</v>
      </c>
      <c r="G93" s="4" t="s">
        <v>35</v>
      </c>
      <c r="H93" s="4" t="s">
        <v>33</v>
      </c>
      <c r="I93" s="4">
        <v>1</v>
      </c>
      <c r="J93" s="4" t="s">
        <v>31</v>
      </c>
      <c r="K93" s="4" t="s">
        <v>32</v>
      </c>
      <c r="L93" s="4">
        <v>30</v>
      </c>
      <c r="M93" s="4" t="s">
        <v>30</v>
      </c>
      <c r="O93" s="22">
        <f t="shared" si="2"/>
        <v>2500</v>
      </c>
      <c r="P93" t="str">
        <f>IF(D93&gt;=70000,"Yes",IF(bike_buyers!D93&lt;=70000,"No"))</f>
        <v>No</v>
      </c>
      <c r="Q93" t="str">
        <f t="shared" si="3"/>
        <v/>
      </c>
    </row>
    <row r="94" spans="1:17" ht="14.25" customHeight="1" x14ac:dyDescent="0.2">
      <c r="A94" s="4">
        <v>19562</v>
      </c>
      <c r="B94" s="4" t="s">
        <v>38</v>
      </c>
      <c r="C94" s="4" t="s">
        <v>27</v>
      </c>
      <c r="D94" s="5">
        <v>60000</v>
      </c>
      <c r="E94" s="4">
        <v>2</v>
      </c>
      <c r="F94" s="4" t="s">
        <v>28</v>
      </c>
      <c r="G94" s="4" t="s">
        <v>36</v>
      </c>
      <c r="H94" s="4" t="s">
        <v>30</v>
      </c>
      <c r="I94" s="4">
        <v>1</v>
      </c>
      <c r="J94" s="4" t="s">
        <v>37</v>
      </c>
      <c r="K94" s="4" t="s">
        <v>40</v>
      </c>
      <c r="L94" s="4">
        <v>37</v>
      </c>
      <c r="M94" s="4" t="s">
        <v>30</v>
      </c>
      <c r="O94" s="22">
        <f t="shared" si="2"/>
        <v>5000</v>
      </c>
      <c r="P94" t="str">
        <f>IF(D94&gt;=70000,"Yes",IF(bike_buyers!D94&lt;=70000,"No"))</f>
        <v>No</v>
      </c>
      <c r="Q94" t="str">
        <f t="shared" si="3"/>
        <v/>
      </c>
    </row>
    <row r="95" spans="1:17" ht="14.25" customHeight="1" x14ac:dyDescent="0.2">
      <c r="A95" s="4">
        <v>15608</v>
      </c>
      <c r="B95" s="4" t="s">
        <v>38</v>
      </c>
      <c r="C95" s="4" t="s">
        <v>27</v>
      </c>
      <c r="D95" s="5">
        <v>30000</v>
      </c>
      <c r="E95" s="4">
        <v>0</v>
      </c>
      <c r="F95" s="4" t="s">
        <v>34</v>
      </c>
      <c r="G95" s="4" t="s">
        <v>35</v>
      </c>
      <c r="H95" s="4" t="s">
        <v>33</v>
      </c>
      <c r="I95" s="4">
        <v>1</v>
      </c>
      <c r="J95" s="4" t="s">
        <v>37</v>
      </c>
      <c r="K95" s="4" t="s">
        <v>32</v>
      </c>
      <c r="L95" s="4">
        <v>33</v>
      </c>
      <c r="M95" s="4" t="s">
        <v>33</v>
      </c>
      <c r="O95" s="22">
        <f t="shared" si="2"/>
        <v>2500</v>
      </c>
      <c r="P95" t="str">
        <f>IF(D95&gt;=70000,"Yes",IF(bike_buyers!D95&lt;=70000,"No"))</f>
        <v>No</v>
      </c>
      <c r="Q95" t="str">
        <f t="shared" si="3"/>
        <v/>
      </c>
    </row>
    <row r="96" spans="1:17" ht="14.25" customHeight="1" x14ac:dyDescent="0.2">
      <c r="A96" s="4">
        <v>16487</v>
      </c>
      <c r="B96" s="4" t="s">
        <v>38</v>
      </c>
      <c r="C96" s="4" t="s">
        <v>27</v>
      </c>
      <c r="D96" s="5">
        <v>30000</v>
      </c>
      <c r="E96" s="4">
        <v>3</v>
      </c>
      <c r="F96" s="4" t="s">
        <v>43</v>
      </c>
      <c r="G96" s="4" t="s">
        <v>29</v>
      </c>
      <c r="H96" s="4" t="s">
        <v>30</v>
      </c>
      <c r="I96" s="4">
        <v>2</v>
      </c>
      <c r="J96" s="4" t="s">
        <v>39</v>
      </c>
      <c r="K96" s="4" t="s">
        <v>40</v>
      </c>
      <c r="L96" s="4">
        <v>55</v>
      </c>
      <c r="M96" s="4" t="s">
        <v>33</v>
      </c>
      <c r="O96" s="22">
        <f t="shared" si="2"/>
        <v>2500</v>
      </c>
      <c r="P96" t="str">
        <f>IF(D96&gt;=70000,"Yes",IF(bike_buyers!D96&lt;=70000,"No"))</f>
        <v>No</v>
      </c>
      <c r="Q96" t="str">
        <f t="shared" si="3"/>
        <v/>
      </c>
    </row>
    <row r="97" spans="1:17" ht="14.25" customHeight="1" x14ac:dyDescent="0.2">
      <c r="A97" s="6">
        <v>17197</v>
      </c>
      <c r="B97" s="6" t="s">
        <v>38</v>
      </c>
      <c r="C97" s="6" t="s">
        <v>27</v>
      </c>
      <c r="D97" s="7">
        <v>90000</v>
      </c>
      <c r="E97" s="6">
        <v>5</v>
      </c>
      <c r="F97" s="6" t="s">
        <v>34</v>
      </c>
      <c r="G97" s="6" t="s">
        <v>36</v>
      </c>
      <c r="H97" s="6" t="s">
        <v>30</v>
      </c>
      <c r="I97" s="6">
        <v>2</v>
      </c>
      <c r="J97" s="6" t="s">
        <v>46</v>
      </c>
      <c r="K97" s="6" t="s">
        <v>32</v>
      </c>
      <c r="L97" s="6">
        <v>62</v>
      </c>
      <c r="M97" s="6" t="s">
        <v>33</v>
      </c>
      <c r="N97" s="8"/>
      <c r="O97" s="23">
        <f t="shared" si="2"/>
        <v>7500</v>
      </c>
      <c r="P97" t="str">
        <f>IF(D97&gt;=70000,"Yes",IF(bike_buyers!D97&lt;=70000,"No"))</f>
        <v>Yes</v>
      </c>
      <c r="Q97" t="str">
        <f t="shared" si="3"/>
        <v/>
      </c>
    </row>
    <row r="98" spans="1:17" ht="14.25" customHeight="1" x14ac:dyDescent="0.2">
      <c r="A98" s="4">
        <v>12507</v>
      </c>
      <c r="B98" s="4" t="s">
        <v>26</v>
      </c>
      <c r="C98" s="4" t="s">
        <v>26</v>
      </c>
      <c r="D98" s="5">
        <v>30000</v>
      </c>
      <c r="E98" s="4">
        <v>1</v>
      </c>
      <c r="F98" s="4" t="s">
        <v>34</v>
      </c>
      <c r="G98" s="4" t="s">
        <v>35</v>
      </c>
      <c r="H98" s="4" t="s">
        <v>30</v>
      </c>
      <c r="I98" s="4">
        <v>1</v>
      </c>
      <c r="J98" s="4" t="s">
        <v>31</v>
      </c>
      <c r="K98" s="4" t="s">
        <v>32</v>
      </c>
      <c r="L98" s="4">
        <v>43</v>
      </c>
      <c r="M98" s="4" t="s">
        <v>33</v>
      </c>
      <c r="O98" s="22">
        <f t="shared" si="2"/>
        <v>2500</v>
      </c>
      <c r="P98" t="str">
        <f>IF(D98&gt;=70000,"Yes",IF(bike_buyers!D98&lt;=70000,"No"))</f>
        <v>No</v>
      </c>
      <c r="Q98" t="str">
        <f t="shared" si="3"/>
        <v/>
      </c>
    </row>
    <row r="99" spans="1:17" ht="14.25" customHeight="1" x14ac:dyDescent="0.2">
      <c r="A99" s="4">
        <v>23940</v>
      </c>
      <c r="B99" s="4" t="s">
        <v>26</v>
      </c>
      <c r="C99" s="4" t="s">
        <v>26</v>
      </c>
      <c r="D99" s="5">
        <v>40000</v>
      </c>
      <c r="E99" s="4">
        <v>1</v>
      </c>
      <c r="F99" s="4" t="s">
        <v>28</v>
      </c>
      <c r="G99" s="4" t="s">
        <v>29</v>
      </c>
      <c r="H99" s="4" t="s">
        <v>30</v>
      </c>
      <c r="I99" s="4">
        <v>1</v>
      </c>
      <c r="J99" s="4" t="s">
        <v>31</v>
      </c>
      <c r="K99" s="4" t="s">
        <v>32</v>
      </c>
      <c r="L99" s="4">
        <v>44</v>
      </c>
      <c r="M99" s="4" t="s">
        <v>30</v>
      </c>
      <c r="O99" s="22">
        <f t="shared" si="2"/>
        <v>3333.3333333333335</v>
      </c>
      <c r="P99" t="str">
        <f>IF(D99&gt;=70000,"Yes",IF(bike_buyers!D99&lt;=70000,"No"))</f>
        <v>No</v>
      </c>
      <c r="Q99" t="str">
        <f t="shared" si="3"/>
        <v/>
      </c>
    </row>
    <row r="100" spans="1:17" ht="14.25" customHeight="1" x14ac:dyDescent="0.2">
      <c r="A100" s="4">
        <v>19441</v>
      </c>
      <c r="B100" s="4" t="s">
        <v>26</v>
      </c>
      <c r="C100" s="4" t="s">
        <v>26</v>
      </c>
      <c r="D100" s="5">
        <v>40000</v>
      </c>
      <c r="E100" s="4">
        <v>0</v>
      </c>
      <c r="F100" s="4" t="s">
        <v>47</v>
      </c>
      <c r="G100" s="4" t="s">
        <v>35</v>
      </c>
      <c r="H100" s="4" t="s">
        <v>30</v>
      </c>
      <c r="I100" s="4">
        <v>0</v>
      </c>
      <c r="J100" s="4" t="s">
        <v>31</v>
      </c>
      <c r="K100" s="4" t="s">
        <v>32</v>
      </c>
      <c r="L100" s="4">
        <v>25</v>
      </c>
      <c r="M100" s="4" t="s">
        <v>30</v>
      </c>
      <c r="O100" s="22">
        <f t="shared" si="2"/>
        <v>3333.3333333333335</v>
      </c>
      <c r="P100" t="str">
        <f>IF(D100&gt;=70000,"Yes",IF(bike_buyers!D100&lt;=70000,"No"))</f>
        <v>No</v>
      </c>
      <c r="Q100" t="str">
        <f t="shared" si="3"/>
        <v/>
      </c>
    </row>
    <row r="101" spans="1:17" ht="14.25" customHeight="1" x14ac:dyDescent="0.2">
      <c r="A101" s="4">
        <v>26852</v>
      </c>
      <c r="B101" s="4" t="s">
        <v>26</v>
      </c>
      <c r="C101" s="4" t="s">
        <v>27</v>
      </c>
      <c r="D101" s="5">
        <v>20000</v>
      </c>
      <c r="E101" s="4">
        <v>3</v>
      </c>
      <c r="F101" s="4" t="s">
        <v>43</v>
      </c>
      <c r="G101" s="4" t="s">
        <v>41</v>
      </c>
      <c r="H101" s="4" t="s">
        <v>30</v>
      </c>
      <c r="I101" s="4">
        <v>2</v>
      </c>
      <c r="J101" s="4" t="s">
        <v>31</v>
      </c>
      <c r="K101" s="4" t="s">
        <v>32</v>
      </c>
      <c r="L101" s="4">
        <v>43</v>
      </c>
      <c r="M101" s="4" t="s">
        <v>33</v>
      </c>
      <c r="O101" s="22">
        <f t="shared" si="2"/>
        <v>1666.6666666666667</v>
      </c>
      <c r="P101" t="str">
        <f>IF(D101&gt;=70000,"Yes",IF(bike_buyers!D101&lt;=70000,"No"))</f>
        <v>No</v>
      </c>
      <c r="Q101" t="str">
        <f t="shared" si="3"/>
        <v/>
      </c>
    </row>
    <row r="102" spans="1:17" ht="14.25" customHeight="1" x14ac:dyDescent="0.2">
      <c r="A102" s="4">
        <v>12274</v>
      </c>
      <c r="B102" s="4" t="s">
        <v>38</v>
      </c>
      <c r="C102" s="4" t="s">
        <v>26</v>
      </c>
      <c r="D102" s="5">
        <v>10000</v>
      </c>
      <c r="E102" s="4">
        <v>2</v>
      </c>
      <c r="F102" s="4" t="s">
        <v>43</v>
      </c>
      <c r="G102" s="4" t="s">
        <v>41</v>
      </c>
      <c r="H102" s="4" t="s">
        <v>30</v>
      </c>
      <c r="I102" s="4">
        <v>0</v>
      </c>
      <c r="J102" s="4" t="s">
        <v>31</v>
      </c>
      <c r="K102" s="4" t="s">
        <v>32</v>
      </c>
      <c r="L102" s="4">
        <v>35</v>
      </c>
      <c r="M102" s="4" t="s">
        <v>33</v>
      </c>
      <c r="O102" s="22">
        <f t="shared" si="2"/>
        <v>833.33333333333337</v>
      </c>
      <c r="P102" t="str">
        <f>IF(D102&gt;=70000,"Yes",IF(bike_buyers!D102&lt;=70000,"No"))</f>
        <v>No</v>
      </c>
      <c r="Q102" t="str">
        <f t="shared" si="3"/>
        <v/>
      </c>
    </row>
    <row r="103" spans="1:17" ht="14.25" customHeight="1" x14ac:dyDescent="0.2">
      <c r="A103" s="4">
        <v>20236</v>
      </c>
      <c r="B103" s="4" t="s">
        <v>38</v>
      </c>
      <c r="C103" s="4" t="s">
        <v>26</v>
      </c>
      <c r="D103" s="5">
        <v>60000</v>
      </c>
      <c r="E103" s="4">
        <v>3</v>
      </c>
      <c r="F103" s="4" t="s">
        <v>28</v>
      </c>
      <c r="G103" s="4" t="s">
        <v>36</v>
      </c>
      <c r="H103" s="4" t="s">
        <v>33</v>
      </c>
      <c r="I103" s="4">
        <v>2</v>
      </c>
      <c r="J103" s="4" t="s">
        <v>31</v>
      </c>
      <c r="K103" s="4" t="s">
        <v>40</v>
      </c>
      <c r="L103" s="4">
        <v>43</v>
      </c>
      <c r="M103" s="4" t="s">
        <v>30</v>
      </c>
      <c r="O103" s="22">
        <f t="shared" si="2"/>
        <v>5000</v>
      </c>
      <c r="P103" t="str">
        <f>IF(D103&gt;=70000,"Yes",IF(bike_buyers!D103&lt;=70000,"No"))</f>
        <v>No</v>
      </c>
      <c r="Q103" t="str">
        <f t="shared" si="3"/>
        <v/>
      </c>
    </row>
    <row r="104" spans="1:17" ht="14.25" customHeight="1" x14ac:dyDescent="0.2">
      <c r="A104" s="4">
        <v>24149</v>
      </c>
      <c r="B104" s="4" t="s">
        <v>26</v>
      </c>
      <c r="C104" s="4" t="s">
        <v>26</v>
      </c>
      <c r="D104" s="5">
        <v>10000</v>
      </c>
      <c r="E104" s="4">
        <v>2</v>
      </c>
      <c r="F104" s="4" t="s">
        <v>34</v>
      </c>
      <c r="G104" s="4" t="s">
        <v>41</v>
      </c>
      <c r="H104" s="4" t="s">
        <v>30</v>
      </c>
      <c r="I104" s="4">
        <v>0</v>
      </c>
      <c r="J104" s="4" t="s">
        <v>42</v>
      </c>
      <c r="K104" s="4" t="s">
        <v>32</v>
      </c>
      <c r="L104" s="4">
        <v>49</v>
      </c>
      <c r="M104" s="4" t="s">
        <v>33</v>
      </c>
      <c r="O104" s="22">
        <f t="shared" si="2"/>
        <v>833.33333333333337</v>
      </c>
      <c r="P104" t="str">
        <f>IF(D104&gt;=70000,"Yes",IF(bike_buyers!D104&lt;=70000,"No"))</f>
        <v>No</v>
      </c>
      <c r="Q104" t="str">
        <f t="shared" si="3"/>
        <v/>
      </c>
    </row>
    <row r="105" spans="1:17" ht="14.25" customHeight="1" x14ac:dyDescent="0.2">
      <c r="A105" s="4">
        <v>26139</v>
      </c>
      <c r="B105" s="4" t="s">
        <v>38</v>
      </c>
      <c r="C105" s="4" t="s">
        <v>26</v>
      </c>
      <c r="D105" s="5">
        <v>60000</v>
      </c>
      <c r="E105" s="4">
        <v>1</v>
      </c>
      <c r="F105" s="4" t="s">
        <v>34</v>
      </c>
      <c r="G105" s="4" t="s">
        <v>29</v>
      </c>
      <c r="H105" s="4" t="s">
        <v>30</v>
      </c>
      <c r="I105" s="4">
        <v>1</v>
      </c>
      <c r="J105" s="4" t="s">
        <v>39</v>
      </c>
      <c r="K105" s="4" t="s">
        <v>40</v>
      </c>
      <c r="L105" s="4">
        <v>45</v>
      </c>
      <c r="M105" s="4" t="s">
        <v>33</v>
      </c>
      <c r="O105" s="22">
        <f t="shared" si="2"/>
        <v>5000</v>
      </c>
      <c r="P105" t="str">
        <f>IF(D105&gt;=70000,"Yes",IF(bike_buyers!D105&lt;=70000,"No"))</f>
        <v>No</v>
      </c>
      <c r="Q105" t="str">
        <f t="shared" si="3"/>
        <v/>
      </c>
    </row>
    <row r="106" spans="1:17" ht="14.25" customHeight="1" x14ac:dyDescent="0.2">
      <c r="A106" s="4">
        <v>18491</v>
      </c>
      <c r="B106" s="4" t="s">
        <v>38</v>
      </c>
      <c r="C106" s="4" t="s">
        <v>27</v>
      </c>
      <c r="D106" s="5">
        <v>70000</v>
      </c>
      <c r="E106" s="4">
        <v>2</v>
      </c>
      <c r="F106" s="4" t="s">
        <v>43</v>
      </c>
      <c r="G106" s="4" t="s">
        <v>36</v>
      </c>
      <c r="H106" s="4" t="s">
        <v>30</v>
      </c>
      <c r="I106" s="4">
        <v>2</v>
      </c>
      <c r="J106" s="4" t="s">
        <v>39</v>
      </c>
      <c r="K106" s="4" t="s">
        <v>40</v>
      </c>
      <c r="L106" s="4">
        <v>49</v>
      </c>
      <c r="M106" s="4" t="s">
        <v>30</v>
      </c>
      <c r="O106" s="22">
        <f t="shared" si="2"/>
        <v>5833.333333333333</v>
      </c>
      <c r="P106" t="str">
        <f>IF(D106&gt;=70000,"Yes",IF(bike_buyers!D106&lt;=70000,"No"))</f>
        <v>Yes</v>
      </c>
      <c r="Q106" t="str">
        <f t="shared" si="3"/>
        <v/>
      </c>
    </row>
    <row r="107" spans="1:17" ht="14.25" customHeight="1" x14ac:dyDescent="0.2">
      <c r="A107" s="4">
        <v>22707</v>
      </c>
      <c r="B107" s="4" t="s">
        <v>38</v>
      </c>
      <c r="C107" s="4" t="s">
        <v>27</v>
      </c>
      <c r="D107" s="5">
        <v>30000</v>
      </c>
      <c r="E107" s="4">
        <v>0</v>
      </c>
      <c r="F107" s="4" t="s">
        <v>34</v>
      </c>
      <c r="G107" s="4" t="s">
        <v>35</v>
      </c>
      <c r="H107" s="4" t="s">
        <v>33</v>
      </c>
      <c r="I107" s="4">
        <v>1</v>
      </c>
      <c r="J107" s="4" t="s">
        <v>37</v>
      </c>
      <c r="K107" s="4" t="s">
        <v>32</v>
      </c>
      <c r="L107" s="4">
        <v>30</v>
      </c>
      <c r="M107" s="4" t="s">
        <v>33</v>
      </c>
      <c r="O107" s="22">
        <f t="shared" si="2"/>
        <v>2500</v>
      </c>
      <c r="P107" t="str">
        <f>IF(D107&gt;=70000,"Yes",IF(bike_buyers!D107&lt;=70000,"No"))</f>
        <v>No</v>
      </c>
      <c r="Q107" t="str">
        <f t="shared" si="3"/>
        <v/>
      </c>
    </row>
    <row r="108" spans="1:17" ht="14.25" customHeight="1" x14ac:dyDescent="0.2">
      <c r="A108" s="4">
        <v>20430</v>
      </c>
      <c r="B108" s="4" t="s">
        <v>26</v>
      </c>
      <c r="C108" s="4" t="s">
        <v>26</v>
      </c>
      <c r="D108" s="5">
        <v>70000</v>
      </c>
      <c r="E108" s="4">
        <v>2</v>
      </c>
      <c r="F108" s="4" t="s">
        <v>34</v>
      </c>
      <c r="G108" s="4" t="s">
        <v>29</v>
      </c>
      <c r="H108" s="4" t="s">
        <v>30</v>
      </c>
      <c r="I108" s="4">
        <v>2</v>
      </c>
      <c r="J108" s="4" t="s">
        <v>39</v>
      </c>
      <c r="K108" s="4" t="s">
        <v>40</v>
      </c>
      <c r="L108" s="4">
        <v>52</v>
      </c>
      <c r="M108" s="4" t="s">
        <v>30</v>
      </c>
      <c r="O108" s="22">
        <f t="shared" si="2"/>
        <v>5833.333333333333</v>
      </c>
      <c r="P108" t="str">
        <f>IF(D108&gt;=70000,"Yes",IF(bike_buyers!D108&lt;=70000,"No"))</f>
        <v>Yes</v>
      </c>
      <c r="Q108" t="str">
        <f t="shared" si="3"/>
        <v/>
      </c>
    </row>
    <row r="109" spans="1:17" ht="14.25" customHeight="1" x14ac:dyDescent="0.2">
      <c r="A109" s="4">
        <v>27494</v>
      </c>
      <c r="B109" s="4" t="s">
        <v>38</v>
      </c>
      <c r="C109" s="4" t="s">
        <v>27</v>
      </c>
      <c r="D109" s="5">
        <v>40000</v>
      </c>
      <c r="E109" s="4">
        <v>2</v>
      </c>
      <c r="F109" s="4" t="s">
        <v>34</v>
      </c>
      <c r="G109" s="4" t="s">
        <v>29</v>
      </c>
      <c r="H109" s="4" t="s">
        <v>33</v>
      </c>
      <c r="I109" s="4">
        <v>2</v>
      </c>
      <c r="J109" s="4" t="s">
        <v>42</v>
      </c>
      <c r="K109" s="4" t="s">
        <v>40</v>
      </c>
      <c r="L109" s="4">
        <v>53</v>
      </c>
      <c r="M109" s="4" t="s">
        <v>30</v>
      </c>
      <c r="O109" s="22">
        <f t="shared" si="2"/>
        <v>3333.3333333333335</v>
      </c>
      <c r="P109" t="str">
        <f>IF(D109&gt;=70000,"Yes",IF(bike_buyers!D109&lt;=70000,"No"))</f>
        <v>No</v>
      </c>
      <c r="Q109" t="str">
        <f t="shared" si="3"/>
        <v/>
      </c>
    </row>
    <row r="110" spans="1:17" ht="14.25" customHeight="1" x14ac:dyDescent="0.2">
      <c r="A110" s="4">
        <v>26829</v>
      </c>
      <c r="B110" s="4" t="s">
        <v>26</v>
      </c>
      <c r="C110" s="4" t="s">
        <v>27</v>
      </c>
      <c r="D110" s="5">
        <v>40000</v>
      </c>
      <c r="E110" s="4">
        <v>0</v>
      </c>
      <c r="F110" s="4" t="s">
        <v>28</v>
      </c>
      <c r="G110" s="4" t="s">
        <v>35</v>
      </c>
      <c r="H110" s="4" t="s">
        <v>30</v>
      </c>
      <c r="I110" s="4">
        <v>0</v>
      </c>
      <c r="J110" s="4" t="s">
        <v>31</v>
      </c>
      <c r="K110" s="4" t="s">
        <v>32</v>
      </c>
      <c r="L110" s="4">
        <v>38</v>
      </c>
      <c r="M110" s="4" t="s">
        <v>30</v>
      </c>
      <c r="O110" s="22">
        <f t="shared" si="2"/>
        <v>3333.3333333333335</v>
      </c>
      <c r="P110" t="str">
        <f>IF(D110&gt;=70000,"Yes",IF(bike_buyers!D110&lt;=70000,"No"))</f>
        <v>No</v>
      </c>
      <c r="Q110" t="str">
        <f t="shared" si="3"/>
        <v/>
      </c>
    </row>
    <row r="111" spans="1:17" ht="14.25" customHeight="1" x14ac:dyDescent="0.2">
      <c r="A111" s="4">
        <v>28395</v>
      </c>
      <c r="B111" s="4" t="s">
        <v>38</v>
      </c>
      <c r="C111" s="4" t="s">
        <v>26</v>
      </c>
      <c r="D111" s="5">
        <v>40000</v>
      </c>
      <c r="E111" s="4">
        <v>0</v>
      </c>
      <c r="F111" s="4" t="s">
        <v>28</v>
      </c>
      <c r="G111" s="4" t="s">
        <v>36</v>
      </c>
      <c r="H111" s="4" t="s">
        <v>33</v>
      </c>
      <c r="I111" s="4">
        <v>0</v>
      </c>
      <c r="J111" s="4" t="s">
        <v>31</v>
      </c>
      <c r="K111" s="4" t="s">
        <v>32</v>
      </c>
      <c r="L111" s="4">
        <v>39</v>
      </c>
      <c r="M111" s="4" t="s">
        <v>30</v>
      </c>
      <c r="O111" s="22">
        <f t="shared" si="2"/>
        <v>3333.3333333333335</v>
      </c>
      <c r="P111" t="str">
        <f>IF(D111&gt;=70000,"Yes",IF(bike_buyers!D111&lt;=70000,"No"))</f>
        <v>No</v>
      </c>
      <c r="Q111" t="str">
        <f t="shared" si="3"/>
        <v/>
      </c>
    </row>
    <row r="112" spans="1:17" ht="14.25" customHeight="1" x14ac:dyDescent="0.2">
      <c r="A112" s="4">
        <v>21006</v>
      </c>
      <c r="B112" s="4" t="s">
        <v>38</v>
      </c>
      <c r="C112" s="4" t="s">
        <v>27</v>
      </c>
      <c r="D112" s="5">
        <v>30000</v>
      </c>
      <c r="E112" s="4">
        <v>1</v>
      </c>
      <c r="F112" s="4" t="s">
        <v>34</v>
      </c>
      <c r="G112" s="4" t="s">
        <v>41</v>
      </c>
      <c r="H112" s="4" t="s">
        <v>33</v>
      </c>
      <c r="I112" s="4">
        <v>0</v>
      </c>
      <c r="J112" s="4" t="s">
        <v>31</v>
      </c>
      <c r="K112" s="4" t="s">
        <v>32</v>
      </c>
      <c r="L112" s="4">
        <v>46</v>
      </c>
      <c r="M112" s="4" t="s">
        <v>30</v>
      </c>
      <c r="O112" s="22">
        <f t="shared" si="2"/>
        <v>2500</v>
      </c>
      <c r="P112" t="str">
        <f>IF(D112&gt;=70000,"Yes",IF(bike_buyers!D112&lt;=70000,"No"))</f>
        <v>No</v>
      </c>
      <c r="Q112" t="str">
        <f t="shared" si="3"/>
        <v/>
      </c>
    </row>
    <row r="113" spans="1:17" ht="14.25" customHeight="1" x14ac:dyDescent="0.2">
      <c r="A113" s="4">
        <v>14682</v>
      </c>
      <c r="B113" s="4" t="s">
        <v>38</v>
      </c>
      <c r="C113" s="4" t="s">
        <v>27</v>
      </c>
      <c r="D113" s="5">
        <v>70000</v>
      </c>
      <c r="E113" s="4">
        <v>0</v>
      </c>
      <c r="F113" s="4" t="s">
        <v>28</v>
      </c>
      <c r="G113" s="4" t="s">
        <v>36</v>
      </c>
      <c r="H113" s="4" t="s">
        <v>33</v>
      </c>
      <c r="I113" s="4">
        <v>1</v>
      </c>
      <c r="J113" s="4" t="s">
        <v>39</v>
      </c>
      <c r="K113" s="4" t="s">
        <v>40</v>
      </c>
      <c r="L113" s="4">
        <v>38</v>
      </c>
      <c r="M113" s="4" t="s">
        <v>33</v>
      </c>
      <c r="O113" s="22">
        <f t="shared" si="2"/>
        <v>5833.333333333333</v>
      </c>
      <c r="P113" t="str">
        <f>IF(D113&gt;=70000,"Yes",IF(bike_buyers!D113&lt;=70000,"No"))</f>
        <v>Yes</v>
      </c>
      <c r="Q113" t="str">
        <f t="shared" si="3"/>
        <v/>
      </c>
    </row>
    <row r="114" spans="1:17" ht="14.25" customHeight="1" x14ac:dyDescent="0.2">
      <c r="A114" s="4">
        <v>17650</v>
      </c>
      <c r="B114" s="4" t="s">
        <v>38</v>
      </c>
      <c r="C114" s="4" t="s">
        <v>27</v>
      </c>
      <c r="D114" s="5">
        <v>40000</v>
      </c>
      <c r="E114" s="4">
        <v>2</v>
      </c>
      <c r="F114" s="4" t="s">
        <v>34</v>
      </c>
      <c r="G114" s="4" t="s">
        <v>35</v>
      </c>
      <c r="H114" s="4" t="s">
        <v>30</v>
      </c>
      <c r="I114" s="4">
        <v>2</v>
      </c>
      <c r="J114" s="4" t="s">
        <v>42</v>
      </c>
      <c r="K114" s="4" t="s">
        <v>32</v>
      </c>
      <c r="L114" s="4">
        <v>35</v>
      </c>
      <c r="M114" s="4" t="s">
        <v>33</v>
      </c>
      <c r="O114" s="22">
        <f t="shared" si="2"/>
        <v>3333.3333333333335</v>
      </c>
      <c r="P114" t="str">
        <f>IF(D114&gt;=70000,"Yes",IF(bike_buyers!D114&lt;=70000,"No"))</f>
        <v>No</v>
      </c>
      <c r="Q114" t="str">
        <f t="shared" si="3"/>
        <v/>
      </c>
    </row>
    <row r="115" spans="1:17" ht="14.25" customHeight="1" x14ac:dyDescent="0.2">
      <c r="A115" s="6">
        <v>29191</v>
      </c>
      <c r="B115" s="6" t="s">
        <v>38</v>
      </c>
      <c r="C115" s="6" t="s">
        <v>27</v>
      </c>
      <c r="D115" s="7">
        <v>130000</v>
      </c>
      <c r="E115" s="6">
        <v>1</v>
      </c>
      <c r="F115" s="6" t="s">
        <v>47</v>
      </c>
      <c r="G115" s="6" t="s">
        <v>44</v>
      </c>
      <c r="H115" s="6" t="s">
        <v>33</v>
      </c>
      <c r="I115" s="6">
        <v>1</v>
      </c>
      <c r="J115" s="6" t="s">
        <v>31</v>
      </c>
      <c r="K115" s="6" t="s">
        <v>40</v>
      </c>
      <c r="L115" s="6">
        <v>36</v>
      </c>
      <c r="M115" s="6" t="s">
        <v>30</v>
      </c>
      <c r="N115" s="8"/>
      <c r="O115" s="23">
        <f t="shared" si="2"/>
        <v>10833.333333333334</v>
      </c>
      <c r="P115" t="str">
        <f>IF(D115&gt;=70000,"Yes",IF(bike_buyers!D115&lt;=70000,"No"))</f>
        <v>Yes</v>
      </c>
      <c r="Q115" t="str">
        <f t="shared" si="3"/>
        <v/>
      </c>
    </row>
    <row r="116" spans="1:17" ht="14.25" customHeight="1" x14ac:dyDescent="0.2">
      <c r="A116" s="4">
        <v>15030</v>
      </c>
      <c r="B116" s="4" t="s">
        <v>26</v>
      </c>
      <c r="C116" s="4" t="s">
        <v>26</v>
      </c>
      <c r="D116" s="5">
        <v>20000</v>
      </c>
      <c r="E116" s="4">
        <v>0</v>
      </c>
      <c r="F116" s="4" t="s">
        <v>28</v>
      </c>
      <c r="G116" s="4" t="s">
        <v>35</v>
      </c>
      <c r="H116" s="4" t="s">
        <v>30</v>
      </c>
      <c r="I116" s="4">
        <v>0</v>
      </c>
      <c r="J116" s="4" t="s">
        <v>31</v>
      </c>
      <c r="K116" s="4" t="s">
        <v>40</v>
      </c>
      <c r="L116" s="4">
        <v>26</v>
      </c>
      <c r="M116" s="4" t="s">
        <v>30</v>
      </c>
      <c r="O116" s="22">
        <f t="shared" si="2"/>
        <v>1666.6666666666667</v>
      </c>
      <c r="P116" t="str">
        <f>IF(D116&gt;=70000,"Yes",IF(bike_buyers!D116&lt;=70000,"No"))</f>
        <v>No</v>
      </c>
      <c r="Q116" t="str">
        <f t="shared" si="3"/>
        <v/>
      </c>
    </row>
    <row r="117" spans="1:17" ht="14.25" customHeight="1" x14ac:dyDescent="0.2">
      <c r="A117" s="4">
        <v>24140</v>
      </c>
      <c r="B117" s="4" t="s">
        <v>38</v>
      </c>
      <c r="C117" s="4" t="s">
        <v>26</v>
      </c>
      <c r="D117" s="5">
        <v>10000</v>
      </c>
      <c r="E117" s="4">
        <v>0</v>
      </c>
      <c r="F117" s="4" t="s">
        <v>47</v>
      </c>
      <c r="G117" s="4" t="s">
        <v>41</v>
      </c>
      <c r="H117" s="4" t="s">
        <v>33</v>
      </c>
      <c r="I117" s="4">
        <v>0</v>
      </c>
      <c r="J117" s="4" t="s">
        <v>31</v>
      </c>
      <c r="K117" s="4" t="s">
        <v>32</v>
      </c>
      <c r="L117" s="4">
        <v>30</v>
      </c>
      <c r="M117" s="4" t="s">
        <v>30</v>
      </c>
      <c r="O117" s="22">
        <f t="shared" si="2"/>
        <v>833.33333333333337</v>
      </c>
      <c r="P117" t="str">
        <f>IF(D117&gt;=70000,"Yes",IF(bike_buyers!D117&lt;=70000,"No"))</f>
        <v>No</v>
      </c>
      <c r="Q117" t="str">
        <f t="shared" si="3"/>
        <v/>
      </c>
    </row>
    <row r="118" spans="1:17" ht="14.25" customHeight="1" x14ac:dyDescent="0.2">
      <c r="A118" s="4">
        <v>22496</v>
      </c>
      <c r="B118" s="4" t="s">
        <v>26</v>
      </c>
      <c r="C118" s="4" t="s">
        <v>27</v>
      </c>
      <c r="D118" s="5">
        <v>30000</v>
      </c>
      <c r="E118" s="4">
        <v>1</v>
      </c>
      <c r="F118" s="4" t="s">
        <v>28</v>
      </c>
      <c r="G118" s="4" t="s">
        <v>29</v>
      </c>
      <c r="H118" s="4" t="s">
        <v>30</v>
      </c>
      <c r="I118" s="4">
        <v>2</v>
      </c>
      <c r="J118" s="4" t="s">
        <v>31</v>
      </c>
      <c r="K118" s="4" t="s">
        <v>32</v>
      </c>
      <c r="L118" s="4">
        <v>42</v>
      </c>
      <c r="M118" s="4" t="s">
        <v>33</v>
      </c>
      <c r="O118" s="22">
        <f t="shared" si="2"/>
        <v>2500</v>
      </c>
      <c r="P118" t="str">
        <f>IF(D118&gt;=70000,"Yes",IF(bike_buyers!D118&lt;=70000,"No"))</f>
        <v>No</v>
      </c>
      <c r="Q118" t="str">
        <f t="shared" si="3"/>
        <v/>
      </c>
    </row>
    <row r="119" spans="1:17" ht="14.25" customHeight="1" x14ac:dyDescent="0.2">
      <c r="A119" s="4">
        <v>24065</v>
      </c>
      <c r="B119" s="4" t="s">
        <v>38</v>
      </c>
      <c r="C119" s="4" t="s">
        <v>27</v>
      </c>
      <c r="D119" s="5">
        <v>20000</v>
      </c>
      <c r="E119" s="4">
        <v>0</v>
      </c>
      <c r="F119" s="4" t="s">
        <v>43</v>
      </c>
      <c r="G119" s="4" t="s">
        <v>41</v>
      </c>
      <c r="H119" s="4" t="s">
        <v>30</v>
      </c>
      <c r="I119" s="4">
        <v>0</v>
      </c>
      <c r="J119" s="4" t="s">
        <v>31</v>
      </c>
      <c r="K119" s="4" t="s">
        <v>32</v>
      </c>
      <c r="L119" s="4">
        <v>40</v>
      </c>
      <c r="M119" s="4" t="s">
        <v>30</v>
      </c>
      <c r="O119" s="22">
        <f t="shared" si="2"/>
        <v>1666.6666666666667</v>
      </c>
      <c r="P119" t="str">
        <f>IF(D119&gt;=70000,"Yes",IF(bike_buyers!D119&lt;=70000,"No"))</f>
        <v>No</v>
      </c>
      <c r="Q119" t="str">
        <f t="shared" si="3"/>
        <v/>
      </c>
    </row>
    <row r="120" spans="1:17" ht="14.25" customHeight="1" x14ac:dyDescent="0.2">
      <c r="A120" s="4">
        <v>19914</v>
      </c>
      <c r="B120" s="4" t="s">
        <v>26</v>
      </c>
      <c r="C120" s="4" t="s">
        <v>26</v>
      </c>
      <c r="D120" s="5">
        <v>80000</v>
      </c>
      <c r="E120" s="4">
        <v>5</v>
      </c>
      <c r="F120" s="4" t="s">
        <v>28</v>
      </c>
      <c r="G120" s="4" t="s">
        <v>44</v>
      </c>
      <c r="H120" s="4" t="s">
        <v>30</v>
      </c>
      <c r="I120" s="4">
        <v>2</v>
      </c>
      <c r="J120" s="4" t="s">
        <v>37</v>
      </c>
      <c r="K120" s="4" t="s">
        <v>32</v>
      </c>
      <c r="L120" s="4">
        <v>62</v>
      </c>
      <c r="M120" s="4" t="s">
        <v>33</v>
      </c>
      <c r="O120" s="22">
        <f t="shared" si="2"/>
        <v>6666.666666666667</v>
      </c>
      <c r="P120" t="str">
        <f>IF(D120&gt;=70000,"Yes",IF(bike_buyers!D120&lt;=70000,"No"))</f>
        <v>Yes</v>
      </c>
      <c r="Q120" t="str">
        <f t="shared" si="3"/>
        <v/>
      </c>
    </row>
    <row r="121" spans="1:17" ht="14.25" customHeight="1" x14ac:dyDescent="0.2">
      <c r="A121" s="9">
        <v>12871</v>
      </c>
      <c r="B121" s="9" t="s">
        <v>38</v>
      </c>
      <c r="C121" s="9" t="s">
        <v>27</v>
      </c>
      <c r="D121" s="10">
        <v>30000</v>
      </c>
      <c r="E121" s="9">
        <v>0</v>
      </c>
      <c r="F121" s="9" t="s">
        <v>34</v>
      </c>
      <c r="G121" s="9" t="s">
        <v>35</v>
      </c>
      <c r="H121" s="9" t="s">
        <v>33</v>
      </c>
      <c r="I121" s="9">
        <v>1</v>
      </c>
      <c r="J121" s="9" t="s">
        <v>37</v>
      </c>
      <c r="K121" s="9" t="s">
        <v>32</v>
      </c>
      <c r="L121" s="9">
        <v>29</v>
      </c>
      <c r="M121" s="9" t="s">
        <v>33</v>
      </c>
      <c r="N121" s="11"/>
      <c r="O121" s="24">
        <f t="shared" si="2"/>
        <v>2500</v>
      </c>
      <c r="P121" t="str">
        <f>IF(D121&gt;=70000,"Yes",IF(bike_buyers!D121&lt;=70000,"No"))</f>
        <v>No</v>
      </c>
      <c r="Q121" t="str">
        <f t="shared" si="3"/>
        <v/>
      </c>
    </row>
    <row r="122" spans="1:17" ht="14.25" customHeight="1" x14ac:dyDescent="0.2">
      <c r="A122" s="4">
        <v>22988</v>
      </c>
      <c r="B122" s="4" t="s">
        <v>26</v>
      </c>
      <c r="C122" s="4" t="s">
        <v>27</v>
      </c>
      <c r="D122" s="5">
        <v>40000</v>
      </c>
      <c r="E122" s="4">
        <v>2</v>
      </c>
      <c r="F122" s="4" t="s">
        <v>28</v>
      </c>
      <c r="G122" s="4" t="s">
        <v>44</v>
      </c>
      <c r="H122" s="4" t="s">
        <v>30</v>
      </c>
      <c r="I122" s="4">
        <v>2</v>
      </c>
      <c r="J122" s="4" t="s">
        <v>39</v>
      </c>
      <c r="K122" s="4" t="s">
        <v>40</v>
      </c>
      <c r="L122" s="4">
        <v>66</v>
      </c>
      <c r="M122" s="4" t="s">
        <v>30</v>
      </c>
      <c r="O122" s="22">
        <f t="shared" si="2"/>
        <v>3333.3333333333335</v>
      </c>
      <c r="P122" t="str">
        <f>IF(D122&gt;=70000,"Yes",IF(bike_buyers!D122&lt;=70000,"No"))</f>
        <v>No</v>
      </c>
      <c r="Q122" t="str">
        <f t="shared" si="3"/>
        <v/>
      </c>
    </row>
    <row r="123" spans="1:17" ht="14.25" customHeight="1" x14ac:dyDescent="0.2">
      <c r="A123" s="6">
        <v>15922</v>
      </c>
      <c r="B123" s="6" t="s">
        <v>26</v>
      </c>
      <c r="C123" s="6" t="s">
        <v>26</v>
      </c>
      <c r="D123" s="7">
        <v>150000</v>
      </c>
      <c r="E123" s="6">
        <v>2</v>
      </c>
      <c r="F123" s="6" t="s">
        <v>43</v>
      </c>
      <c r="G123" s="6" t="s">
        <v>36</v>
      </c>
      <c r="H123" s="6" t="s">
        <v>30</v>
      </c>
      <c r="I123" s="6">
        <v>4</v>
      </c>
      <c r="J123" s="6" t="s">
        <v>31</v>
      </c>
      <c r="K123" s="6" t="s">
        <v>32</v>
      </c>
      <c r="L123" s="6">
        <v>48</v>
      </c>
      <c r="M123" s="6" t="s">
        <v>33</v>
      </c>
      <c r="N123" s="8"/>
      <c r="O123" s="23">
        <f t="shared" si="2"/>
        <v>12500</v>
      </c>
      <c r="P123" t="str">
        <f>IF(D123&gt;=70000,"Yes",IF(bike_buyers!D123&lt;=70000,"No"))</f>
        <v>Yes</v>
      </c>
      <c r="Q123" t="str">
        <f t="shared" si="3"/>
        <v/>
      </c>
    </row>
    <row r="124" spans="1:17" ht="14.25" customHeight="1" x14ac:dyDescent="0.2">
      <c r="A124" s="4">
        <v>12344</v>
      </c>
      <c r="B124" s="4" t="s">
        <v>38</v>
      </c>
      <c r="C124" s="4" t="s">
        <v>27</v>
      </c>
      <c r="D124" s="5">
        <v>80000</v>
      </c>
      <c r="E124" s="4">
        <v>0</v>
      </c>
      <c r="F124" s="4" t="s">
        <v>28</v>
      </c>
      <c r="G124" s="4" t="s">
        <v>36</v>
      </c>
      <c r="H124" s="4" t="s">
        <v>33</v>
      </c>
      <c r="I124" s="4">
        <v>3</v>
      </c>
      <c r="J124" s="4" t="s">
        <v>46</v>
      </c>
      <c r="K124" s="4" t="s">
        <v>40</v>
      </c>
      <c r="L124" s="4">
        <v>31</v>
      </c>
      <c r="M124" s="4" t="s">
        <v>33</v>
      </c>
      <c r="O124" s="22">
        <f t="shared" si="2"/>
        <v>6666.666666666667</v>
      </c>
      <c r="P124" t="str">
        <f>IF(D124&gt;=70000,"Yes",IF(bike_buyers!D124&lt;=70000,"No"))</f>
        <v>Yes</v>
      </c>
      <c r="Q124" t="str">
        <f t="shared" si="3"/>
        <v/>
      </c>
    </row>
    <row r="125" spans="1:17" ht="14.25" customHeight="1" x14ac:dyDescent="0.2">
      <c r="A125" s="6">
        <v>23627</v>
      </c>
      <c r="B125" s="6" t="s">
        <v>38</v>
      </c>
      <c r="C125" s="6" t="s">
        <v>27</v>
      </c>
      <c r="D125" s="7">
        <v>100000</v>
      </c>
      <c r="E125" s="6">
        <v>3</v>
      </c>
      <c r="F125" s="6" t="s">
        <v>34</v>
      </c>
      <c r="G125" s="6" t="s">
        <v>44</v>
      </c>
      <c r="H125" s="6" t="s">
        <v>33</v>
      </c>
      <c r="I125" s="6">
        <v>4</v>
      </c>
      <c r="J125" s="6" t="s">
        <v>39</v>
      </c>
      <c r="K125" s="6" t="s">
        <v>32</v>
      </c>
      <c r="L125" s="6">
        <v>56</v>
      </c>
      <c r="M125" s="6" t="s">
        <v>33</v>
      </c>
      <c r="N125" s="8"/>
      <c r="O125" s="23">
        <f t="shared" si="2"/>
        <v>8333.3333333333339</v>
      </c>
      <c r="P125" t="str">
        <f>IF(D125&gt;=70000,"Yes",IF(bike_buyers!D125&lt;=70000,"No"))</f>
        <v>Yes</v>
      </c>
      <c r="Q125" t="str">
        <f t="shared" si="3"/>
        <v>Yes</v>
      </c>
    </row>
    <row r="126" spans="1:17" ht="14.25" customHeight="1" x14ac:dyDescent="0.2">
      <c r="A126" s="4">
        <v>27775</v>
      </c>
      <c r="B126" s="4" t="s">
        <v>38</v>
      </c>
      <c r="C126" s="4" t="s">
        <v>27</v>
      </c>
      <c r="D126" s="5">
        <v>40000</v>
      </c>
      <c r="E126" s="4">
        <v>0</v>
      </c>
      <c r="F126" s="4" t="s">
        <v>28</v>
      </c>
      <c r="G126" s="4" t="s">
        <v>35</v>
      </c>
      <c r="H126" s="4" t="s">
        <v>33</v>
      </c>
      <c r="I126" s="4">
        <v>0</v>
      </c>
      <c r="J126" s="4" t="s">
        <v>31</v>
      </c>
      <c r="K126" s="4" t="s">
        <v>32</v>
      </c>
      <c r="L126" s="4">
        <v>38</v>
      </c>
      <c r="M126" s="4" t="s">
        <v>30</v>
      </c>
      <c r="O126" s="22">
        <f t="shared" si="2"/>
        <v>3333.3333333333335</v>
      </c>
      <c r="P126" t="str">
        <f>IF(D126&gt;=70000,"Yes",IF(bike_buyers!D126&lt;=70000,"No"))</f>
        <v>No</v>
      </c>
      <c r="Q126" t="str">
        <f t="shared" si="3"/>
        <v/>
      </c>
    </row>
    <row r="127" spans="1:17" ht="14.25" customHeight="1" x14ac:dyDescent="0.2">
      <c r="A127" s="4">
        <v>29301</v>
      </c>
      <c r="B127" s="4" t="s">
        <v>26</v>
      </c>
      <c r="C127" s="4" t="s">
        <v>26</v>
      </c>
      <c r="D127" s="5">
        <v>80000</v>
      </c>
      <c r="E127" s="4">
        <v>5</v>
      </c>
      <c r="F127" s="4" t="s">
        <v>28</v>
      </c>
      <c r="G127" s="4" t="s">
        <v>36</v>
      </c>
      <c r="H127" s="4" t="s">
        <v>30</v>
      </c>
      <c r="I127" s="4">
        <v>4</v>
      </c>
      <c r="J127" s="4" t="s">
        <v>42</v>
      </c>
      <c r="K127" s="4" t="s">
        <v>40</v>
      </c>
      <c r="L127" s="4">
        <v>40</v>
      </c>
      <c r="M127" s="4" t="s">
        <v>33</v>
      </c>
      <c r="O127" s="22">
        <f t="shared" si="2"/>
        <v>6666.666666666667</v>
      </c>
      <c r="P127" t="str">
        <f>IF(D127&gt;=70000,"Yes",IF(bike_buyers!D127&lt;=70000,"No"))</f>
        <v>Yes</v>
      </c>
      <c r="Q127" t="str">
        <f t="shared" si="3"/>
        <v/>
      </c>
    </row>
    <row r="128" spans="1:17" ht="14.25" customHeight="1" x14ac:dyDescent="0.2">
      <c r="A128" s="4">
        <v>12716</v>
      </c>
      <c r="B128" s="4" t="s">
        <v>38</v>
      </c>
      <c r="C128" s="4" t="s">
        <v>26</v>
      </c>
      <c r="D128" s="5">
        <v>30000</v>
      </c>
      <c r="E128" s="4">
        <v>0</v>
      </c>
      <c r="F128" s="4" t="s">
        <v>34</v>
      </c>
      <c r="G128" s="4" t="s">
        <v>35</v>
      </c>
      <c r="H128" s="4" t="s">
        <v>30</v>
      </c>
      <c r="I128" s="4">
        <v>1</v>
      </c>
      <c r="J128" s="4" t="s">
        <v>37</v>
      </c>
      <c r="K128" s="4" t="s">
        <v>32</v>
      </c>
      <c r="L128" s="4">
        <v>32</v>
      </c>
      <c r="M128" s="4" t="s">
        <v>33</v>
      </c>
      <c r="O128" s="22">
        <f t="shared" si="2"/>
        <v>2500</v>
      </c>
      <c r="P128" t="str">
        <f>IF(D128&gt;=70000,"Yes",IF(bike_buyers!D128&lt;=70000,"No"))</f>
        <v>No</v>
      </c>
      <c r="Q128" t="str">
        <f t="shared" si="3"/>
        <v/>
      </c>
    </row>
    <row r="129" spans="1:17" ht="14.25" customHeight="1" x14ac:dyDescent="0.2">
      <c r="A129" s="4">
        <v>12472</v>
      </c>
      <c r="B129" s="4" t="s">
        <v>26</v>
      </c>
      <c r="C129" s="4" t="s">
        <v>26</v>
      </c>
      <c r="D129" s="5">
        <v>30000</v>
      </c>
      <c r="E129" s="4">
        <v>1</v>
      </c>
      <c r="F129" s="4" t="s">
        <v>28</v>
      </c>
      <c r="G129" s="4" t="s">
        <v>35</v>
      </c>
      <c r="H129" s="4" t="s">
        <v>30</v>
      </c>
      <c r="I129" s="4">
        <v>1</v>
      </c>
      <c r="J129" s="4" t="s">
        <v>37</v>
      </c>
      <c r="K129" s="4" t="s">
        <v>32</v>
      </c>
      <c r="L129" s="4">
        <v>39</v>
      </c>
      <c r="M129" s="4" t="s">
        <v>33</v>
      </c>
      <c r="O129" s="22">
        <f t="shared" si="2"/>
        <v>2500</v>
      </c>
      <c r="P129" t="str">
        <f>IF(D129&gt;=70000,"Yes",IF(bike_buyers!D129&lt;=70000,"No"))</f>
        <v>No</v>
      </c>
      <c r="Q129" t="str">
        <f t="shared" si="3"/>
        <v/>
      </c>
    </row>
    <row r="130" spans="1:17" ht="14.25" customHeight="1" x14ac:dyDescent="0.2">
      <c r="A130" s="4">
        <v>20970</v>
      </c>
      <c r="B130" s="4" t="s">
        <v>38</v>
      </c>
      <c r="C130" s="4" t="s">
        <v>26</v>
      </c>
      <c r="D130" s="5">
        <v>10000</v>
      </c>
      <c r="E130" s="4">
        <v>2</v>
      </c>
      <c r="F130" s="4" t="s">
        <v>34</v>
      </c>
      <c r="G130" s="4" t="s">
        <v>41</v>
      </c>
      <c r="H130" s="4" t="s">
        <v>30</v>
      </c>
      <c r="I130" s="4">
        <v>1</v>
      </c>
      <c r="J130" s="4" t="s">
        <v>31</v>
      </c>
      <c r="K130" s="4" t="s">
        <v>32</v>
      </c>
      <c r="L130" s="4">
        <v>52</v>
      </c>
      <c r="M130" s="4" t="s">
        <v>30</v>
      </c>
      <c r="O130" s="22">
        <f t="shared" si="2"/>
        <v>833.33333333333337</v>
      </c>
      <c r="P130" t="str">
        <f>IF(D130&gt;=70000,"Yes",IF(bike_buyers!D130&lt;=70000,"No"))</f>
        <v>No</v>
      </c>
      <c r="Q130" t="str">
        <f t="shared" si="3"/>
        <v/>
      </c>
    </row>
    <row r="131" spans="1:17" ht="14.25" customHeight="1" x14ac:dyDescent="0.2">
      <c r="A131" s="4">
        <v>26818</v>
      </c>
      <c r="B131" s="4" t="s">
        <v>38</v>
      </c>
      <c r="C131" s="4" t="s">
        <v>26</v>
      </c>
      <c r="D131" s="5">
        <v>10000</v>
      </c>
      <c r="E131" s="4">
        <v>3</v>
      </c>
      <c r="F131" s="4" t="s">
        <v>43</v>
      </c>
      <c r="G131" s="4" t="s">
        <v>41</v>
      </c>
      <c r="H131" s="4" t="s">
        <v>30</v>
      </c>
      <c r="I131" s="4">
        <v>1</v>
      </c>
      <c r="J131" s="4" t="s">
        <v>31</v>
      </c>
      <c r="K131" s="4" t="s">
        <v>32</v>
      </c>
      <c r="L131" s="4">
        <v>39</v>
      </c>
      <c r="M131" s="4" t="s">
        <v>30</v>
      </c>
      <c r="O131" s="22">
        <f t="shared" ref="O131:O194" si="4">D131/12</f>
        <v>833.33333333333337</v>
      </c>
      <c r="P131" t="str">
        <f>IF(D131&gt;=70000,"Yes",IF(bike_buyers!D131&lt;=70000,"No"))</f>
        <v>No</v>
      </c>
      <c r="Q131" t="str">
        <f t="shared" si="3"/>
        <v/>
      </c>
    </row>
    <row r="132" spans="1:17" ht="14.25" customHeight="1" x14ac:dyDescent="0.2">
      <c r="A132" s="4">
        <v>12993</v>
      </c>
      <c r="B132" s="4" t="s">
        <v>26</v>
      </c>
      <c r="C132" s="4" t="s">
        <v>26</v>
      </c>
      <c r="D132" s="5">
        <v>60000</v>
      </c>
      <c r="E132" s="4">
        <v>2</v>
      </c>
      <c r="F132" s="4" t="s">
        <v>28</v>
      </c>
      <c r="G132" s="4" t="s">
        <v>36</v>
      </c>
      <c r="H132" s="4" t="s">
        <v>30</v>
      </c>
      <c r="I132" s="4">
        <v>1</v>
      </c>
      <c r="J132" s="4" t="s">
        <v>37</v>
      </c>
      <c r="K132" s="4" t="s">
        <v>40</v>
      </c>
      <c r="L132" s="4">
        <v>37</v>
      </c>
      <c r="M132" s="4" t="s">
        <v>33</v>
      </c>
      <c r="O132" s="22">
        <f t="shared" si="4"/>
        <v>5000</v>
      </c>
      <c r="P132" t="str">
        <f>IF(D132&gt;=70000,"Yes",IF(bike_buyers!D132&lt;=70000,"No"))</f>
        <v>No</v>
      </c>
      <c r="Q132" t="str">
        <f t="shared" ref="Q132:Q174" si="5">IF(AND(D131&gt;70000, L131&lt;40, M131="No"),"Yes", "")</f>
        <v/>
      </c>
    </row>
    <row r="133" spans="1:17" ht="14.25" customHeight="1" x14ac:dyDescent="0.2">
      <c r="A133" s="6">
        <v>14192</v>
      </c>
      <c r="B133" s="6" t="s">
        <v>26</v>
      </c>
      <c r="C133" s="6" t="s">
        <v>26</v>
      </c>
      <c r="D133" s="7">
        <v>90000</v>
      </c>
      <c r="E133" s="6">
        <v>4</v>
      </c>
      <c r="F133" s="6" t="s">
        <v>43</v>
      </c>
      <c r="G133" s="6" t="s">
        <v>44</v>
      </c>
      <c r="H133" s="6" t="s">
        <v>30</v>
      </c>
      <c r="I133" s="6">
        <v>3</v>
      </c>
      <c r="J133" s="6" t="s">
        <v>39</v>
      </c>
      <c r="K133" s="6" t="s">
        <v>32</v>
      </c>
      <c r="L133" s="6">
        <v>56</v>
      </c>
      <c r="M133" s="6" t="s">
        <v>30</v>
      </c>
      <c r="N133" s="8"/>
      <c r="O133" s="23">
        <f t="shared" si="4"/>
        <v>7500</v>
      </c>
      <c r="P133" t="str">
        <f>IF(D133&gt;=70000,"Yes",IF(bike_buyers!D133&lt;=70000,"No"))</f>
        <v>Yes</v>
      </c>
      <c r="Q133" t="str">
        <f t="shared" si="5"/>
        <v/>
      </c>
    </row>
    <row r="134" spans="1:17" ht="14.25" customHeight="1" x14ac:dyDescent="0.2">
      <c r="A134" s="4">
        <v>19477</v>
      </c>
      <c r="B134" s="4" t="s">
        <v>26</v>
      </c>
      <c r="C134" s="4" t="s">
        <v>26</v>
      </c>
      <c r="D134" s="5">
        <v>40000</v>
      </c>
      <c r="E134" s="4">
        <v>0</v>
      </c>
      <c r="F134" s="4" t="s">
        <v>28</v>
      </c>
      <c r="G134" s="4" t="s">
        <v>36</v>
      </c>
      <c r="H134" s="4" t="s">
        <v>30</v>
      </c>
      <c r="I134" s="4">
        <v>0</v>
      </c>
      <c r="J134" s="4" t="s">
        <v>31</v>
      </c>
      <c r="K134" s="4" t="s">
        <v>32</v>
      </c>
      <c r="L134" s="4">
        <v>40</v>
      </c>
      <c r="M134" s="4" t="s">
        <v>30</v>
      </c>
      <c r="O134" s="22">
        <f t="shared" si="4"/>
        <v>3333.3333333333335</v>
      </c>
      <c r="P134" t="str">
        <f>IF(D134&gt;=70000,"Yes",IF(bike_buyers!D134&lt;=70000,"No"))</f>
        <v>No</v>
      </c>
      <c r="Q134" t="str">
        <f t="shared" si="5"/>
        <v/>
      </c>
    </row>
    <row r="135" spans="1:17" ht="14.25" customHeight="1" x14ac:dyDescent="0.2">
      <c r="A135" s="4">
        <v>26796</v>
      </c>
      <c r="B135" s="4" t="s">
        <v>38</v>
      </c>
      <c r="C135" s="4" t="s">
        <v>26</v>
      </c>
      <c r="D135" s="5">
        <v>40000</v>
      </c>
      <c r="E135" s="4">
        <v>2</v>
      </c>
      <c r="F135" s="4" t="s">
        <v>28</v>
      </c>
      <c r="G135" s="4" t="s">
        <v>44</v>
      </c>
      <c r="H135" s="4" t="s">
        <v>30</v>
      </c>
      <c r="I135" s="4">
        <v>2</v>
      </c>
      <c r="J135" s="4" t="s">
        <v>39</v>
      </c>
      <c r="K135" s="4" t="s">
        <v>40</v>
      </c>
      <c r="L135" s="4">
        <v>65</v>
      </c>
      <c r="M135" s="4" t="s">
        <v>30</v>
      </c>
      <c r="O135" s="22">
        <f t="shared" si="4"/>
        <v>3333.3333333333335</v>
      </c>
      <c r="P135" t="str">
        <f>IF(D135&gt;=70000,"Yes",IF(bike_buyers!D135&lt;=70000,"No"))</f>
        <v>No</v>
      </c>
      <c r="Q135" t="str">
        <f t="shared" si="5"/>
        <v/>
      </c>
    </row>
    <row r="136" spans="1:17" ht="14.25" customHeight="1" x14ac:dyDescent="0.2">
      <c r="A136" s="4">
        <v>21094</v>
      </c>
      <c r="B136" s="4" t="s">
        <v>38</v>
      </c>
      <c r="C136" s="4" t="s">
        <v>27</v>
      </c>
      <c r="D136" s="5">
        <v>30000</v>
      </c>
      <c r="E136" s="4">
        <v>2</v>
      </c>
      <c r="F136" s="4" t="s">
        <v>34</v>
      </c>
      <c r="G136" s="4" t="s">
        <v>35</v>
      </c>
      <c r="H136" s="4" t="s">
        <v>30</v>
      </c>
      <c r="I136" s="4">
        <v>2</v>
      </c>
      <c r="J136" s="4" t="s">
        <v>31</v>
      </c>
      <c r="K136" s="4" t="s">
        <v>32</v>
      </c>
      <c r="L136" s="4">
        <v>42</v>
      </c>
      <c r="M136" s="4" t="s">
        <v>33</v>
      </c>
      <c r="O136" s="22">
        <f t="shared" si="4"/>
        <v>2500</v>
      </c>
      <c r="P136" t="str">
        <f>IF(D136&gt;=70000,"Yes",IF(bike_buyers!D136&lt;=70000,"No"))</f>
        <v>No</v>
      </c>
      <c r="Q136" t="str">
        <f t="shared" si="5"/>
        <v/>
      </c>
    </row>
    <row r="137" spans="1:17" ht="14.25" customHeight="1" x14ac:dyDescent="0.2">
      <c r="A137" s="4">
        <v>12234</v>
      </c>
      <c r="B137" s="4" t="s">
        <v>26</v>
      </c>
      <c r="C137" s="4" t="s">
        <v>26</v>
      </c>
      <c r="D137" s="5">
        <v>10000</v>
      </c>
      <c r="E137" s="4">
        <v>2</v>
      </c>
      <c r="F137" s="4" t="s">
        <v>34</v>
      </c>
      <c r="G137" s="4" t="s">
        <v>41</v>
      </c>
      <c r="H137" s="4" t="s">
        <v>30</v>
      </c>
      <c r="I137" s="4">
        <v>1</v>
      </c>
      <c r="J137" s="4" t="s">
        <v>37</v>
      </c>
      <c r="K137" s="4" t="s">
        <v>32</v>
      </c>
      <c r="L137" s="4">
        <v>52</v>
      </c>
      <c r="M137" s="4" t="s">
        <v>33</v>
      </c>
      <c r="O137" s="22">
        <f t="shared" si="4"/>
        <v>833.33333333333337</v>
      </c>
      <c r="P137" t="str">
        <f>IF(D137&gt;=70000,"Yes",IF(bike_buyers!D137&lt;=70000,"No"))</f>
        <v>No</v>
      </c>
      <c r="Q137" t="str">
        <f t="shared" si="5"/>
        <v/>
      </c>
    </row>
    <row r="138" spans="1:17" ht="14.25" customHeight="1" x14ac:dyDescent="0.2">
      <c r="A138" s="4">
        <v>28683</v>
      </c>
      <c r="B138" s="4" t="s">
        <v>38</v>
      </c>
      <c r="C138" s="4" t="s">
        <v>27</v>
      </c>
      <c r="D138" s="5">
        <v>10000</v>
      </c>
      <c r="E138" s="4">
        <v>1</v>
      </c>
      <c r="F138" s="4" t="s">
        <v>43</v>
      </c>
      <c r="G138" s="4" t="s">
        <v>41</v>
      </c>
      <c r="H138" s="4" t="s">
        <v>33</v>
      </c>
      <c r="I138" s="4">
        <v>1</v>
      </c>
      <c r="J138" s="4" t="s">
        <v>39</v>
      </c>
      <c r="K138" s="4" t="s">
        <v>32</v>
      </c>
      <c r="L138" s="4">
        <v>35</v>
      </c>
      <c r="M138" s="4" t="s">
        <v>30</v>
      </c>
      <c r="O138" s="22">
        <f t="shared" si="4"/>
        <v>833.33333333333337</v>
      </c>
      <c r="P138" t="str">
        <f>IF(D138&gt;=70000,"Yes",IF(bike_buyers!D138&lt;=70000,"No"))</f>
        <v>No</v>
      </c>
      <c r="Q138" t="str">
        <f t="shared" si="5"/>
        <v/>
      </c>
    </row>
    <row r="139" spans="1:17" ht="14.25" customHeight="1" x14ac:dyDescent="0.2">
      <c r="A139" s="4">
        <v>17994</v>
      </c>
      <c r="B139" s="4" t="s">
        <v>38</v>
      </c>
      <c r="C139" s="4" t="s">
        <v>26</v>
      </c>
      <c r="D139" s="5">
        <v>20000</v>
      </c>
      <c r="E139" s="4">
        <v>2</v>
      </c>
      <c r="F139" s="4" t="s">
        <v>43</v>
      </c>
      <c r="G139" s="4" t="s">
        <v>41</v>
      </c>
      <c r="H139" s="4" t="s">
        <v>30</v>
      </c>
      <c r="I139" s="4">
        <v>2</v>
      </c>
      <c r="J139" s="4" t="s">
        <v>31</v>
      </c>
      <c r="K139" s="4" t="s">
        <v>32</v>
      </c>
      <c r="L139" s="4">
        <v>42</v>
      </c>
      <c r="M139" s="4" t="s">
        <v>33</v>
      </c>
      <c r="O139" s="22">
        <f t="shared" si="4"/>
        <v>1666.6666666666667</v>
      </c>
      <c r="P139" t="str">
        <f>IF(D139&gt;=70000,"Yes",IF(bike_buyers!D139&lt;=70000,"No"))</f>
        <v>No</v>
      </c>
      <c r="Q139" t="str">
        <f t="shared" si="5"/>
        <v/>
      </c>
    </row>
    <row r="140" spans="1:17" ht="14.25" customHeight="1" x14ac:dyDescent="0.2">
      <c r="A140" s="4">
        <v>24273</v>
      </c>
      <c r="B140" s="4" t="s">
        <v>26</v>
      </c>
      <c r="C140" s="4" t="s">
        <v>27</v>
      </c>
      <c r="D140" s="5">
        <v>20000</v>
      </c>
      <c r="E140" s="4">
        <v>2</v>
      </c>
      <c r="F140" s="4" t="s">
        <v>45</v>
      </c>
      <c r="G140" s="4" t="s">
        <v>35</v>
      </c>
      <c r="H140" s="4" t="s">
        <v>30</v>
      </c>
      <c r="I140" s="4">
        <v>2</v>
      </c>
      <c r="J140" s="4" t="s">
        <v>39</v>
      </c>
      <c r="K140" s="4" t="s">
        <v>40</v>
      </c>
      <c r="L140" s="4">
        <v>55</v>
      </c>
      <c r="M140" s="4" t="s">
        <v>30</v>
      </c>
      <c r="O140" s="22">
        <f t="shared" si="4"/>
        <v>1666.6666666666667</v>
      </c>
      <c r="P140" t="str">
        <f>IF(D140&gt;=70000,"Yes",IF(bike_buyers!D140&lt;=70000,"No"))</f>
        <v>No</v>
      </c>
      <c r="Q140" t="str">
        <f t="shared" si="5"/>
        <v/>
      </c>
    </row>
    <row r="141" spans="1:17" ht="14.25" customHeight="1" x14ac:dyDescent="0.2">
      <c r="A141" s="4">
        <v>26547</v>
      </c>
      <c r="B141" s="4" t="s">
        <v>38</v>
      </c>
      <c r="C141" s="4" t="s">
        <v>27</v>
      </c>
      <c r="D141" s="5">
        <v>30000</v>
      </c>
      <c r="E141" s="4">
        <v>2</v>
      </c>
      <c r="F141" s="4" t="s">
        <v>34</v>
      </c>
      <c r="G141" s="4" t="s">
        <v>35</v>
      </c>
      <c r="H141" s="4" t="s">
        <v>33</v>
      </c>
      <c r="I141" s="4">
        <v>2</v>
      </c>
      <c r="J141" s="4" t="s">
        <v>39</v>
      </c>
      <c r="K141" s="4" t="s">
        <v>40</v>
      </c>
      <c r="L141" s="4">
        <v>60</v>
      </c>
      <c r="M141" s="4" t="s">
        <v>30</v>
      </c>
      <c r="O141" s="22">
        <f t="shared" si="4"/>
        <v>2500</v>
      </c>
      <c r="P141" t="str">
        <f>IF(D141&gt;=70000,"Yes",IF(bike_buyers!D141&lt;=70000,"No"))</f>
        <v>No</v>
      </c>
      <c r="Q141" t="str">
        <f t="shared" si="5"/>
        <v/>
      </c>
    </row>
    <row r="142" spans="1:17" ht="14.25" customHeight="1" x14ac:dyDescent="0.2">
      <c r="A142" s="4">
        <v>22500</v>
      </c>
      <c r="B142" s="4" t="s">
        <v>38</v>
      </c>
      <c r="C142" s="4" t="s">
        <v>26</v>
      </c>
      <c r="D142" s="5">
        <v>40000</v>
      </c>
      <c r="E142" s="4">
        <v>0</v>
      </c>
      <c r="F142" s="4" t="s">
        <v>28</v>
      </c>
      <c r="G142" s="4" t="s">
        <v>36</v>
      </c>
      <c r="H142" s="4" t="s">
        <v>33</v>
      </c>
      <c r="I142" s="4">
        <v>0</v>
      </c>
      <c r="J142" s="4" t="s">
        <v>31</v>
      </c>
      <c r="K142" s="4" t="s">
        <v>32</v>
      </c>
      <c r="L142" s="4">
        <v>40</v>
      </c>
      <c r="M142" s="4" t="s">
        <v>30</v>
      </c>
      <c r="O142" s="22">
        <f t="shared" si="4"/>
        <v>3333.3333333333335</v>
      </c>
      <c r="P142" t="str">
        <f>IF(D142&gt;=70000,"Yes",IF(bike_buyers!D142&lt;=70000,"No"))</f>
        <v>No</v>
      </c>
      <c r="Q142" t="str">
        <f t="shared" si="5"/>
        <v/>
      </c>
    </row>
    <row r="143" spans="1:17" ht="14.25" customHeight="1" x14ac:dyDescent="0.2">
      <c r="A143" s="4">
        <v>23993</v>
      </c>
      <c r="B143" s="4" t="s">
        <v>38</v>
      </c>
      <c r="C143" s="4" t="s">
        <v>27</v>
      </c>
      <c r="D143" s="5">
        <v>10000</v>
      </c>
      <c r="E143" s="4">
        <v>0</v>
      </c>
      <c r="F143" s="4" t="s">
        <v>34</v>
      </c>
      <c r="G143" s="4" t="s">
        <v>41</v>
      </c>
      <c r="H143" s="4" t="s">
        <v>33</v>
      </c>
      <c r="I143" s="4">
        <v>1</v>
      </c>
      <c r="J143" s="4" t="s">
        <v>31</v>
      </c>
      <c r="K143" s="4" t="s">
        <v>40</v>
      </c>
      <c r="L143" s="4">
        <v>26</v>
      </c>
      <c r="M143" s="4" t="s">
        <v>30</v>
      </c>
      <c r="O143" s="22">
        <f t="shared" si="4"/>
        <v>833.33333333333337</v>
      </c>
      <c r="P143" t="str">
        <f>IF(D143&gt;=70000,"Yes",IF(bike_buyers!D143&lt;=70000,"No"))</f>
        <v>No</v>
      </c>
      <c r="Q143" t="str">
        <f t="shared" si="5"/>
        <v/>
      </c>
    </row>
    <row r="144" spans="1:17" ht="14.25" customHeight="1" x14ac:dyDescent="0.2">
      <c r="A144" s="4">
        <v>14832</v>
      </c>
      <c r="B144" s="4" t="s">
        <v>26</v>
      </c>
      <c r="C144" s="4" t="s">
        <v>26</v>
      </c>
      <c r="D144" s="5">
        <v>40000</v>
      </c>
      <c r="E144" s="4">
        <v>1</v>
      </c>
      <c r="F144" s="4" t="s">
        <v>28</v>
      </c>
      <c r="G144" s="4" t="s">
        <v>29</v>
      </c>
      <c r="H144" s="4" t="s">
        <v>30</v>
      </c>
      <c r="I144" s="4">
        <v>0</v>
      </c>
      <c r="J144" s="4" t="s">
        <v>31</v>
      </c>
      <c r="K144" s="4" t="s">
        <v>32</v>
      </c>
      <c r="L144" s="4">
        <v>42</v>
      </c>
      <c r="M144" s="4" t="s">
        <v>30</v>
      </c>
      <c r="O144" s="22">
        <f t="shared" si="4"/>
        <v>3333.3333333333335</v>
      </c>
      <c r="P144" t="str">
        <f>IF(D144&gt;=70000,"Yes",IF(bike_buyers!D144&lt;=70000,"No"))</f>
        <v>No</v>
      </c>
      <c r="Q144" t="str">
        <f t="shared" si="5"/>
        <v/>
      </c>
    </row>
    <row r="145" spans="1:17" ht="14.25" customHeight="1" x14ac:dyDescent="0.2">
      <c r="A145" s="4">
        <v>16614</v>
      </c>
      <c r="B145" s="4" t="s">
        <v>26</v>
      </c>
      <c r="C145" s="4" t="s">
        <v>27</v>
      </c>
      <c r="D145" s="5">
        <v>80000</v>
      </c>
      <c r="E145" s="4">
        <v>0</v>
      </c>
      <c r="F145" s="4" t="s">
        <v>28</v>
      </c>
      <c r="G145" s="4" t="s">
        <v>36</v>
      </c>
      <c r="H145" s="4" t="s">
        <v>30</v>
      </c>
      <c r="I145" s="4">
        <v>3</v>
      </c>
      <c r="J145" s="4" t="s">
        <v>46</v>
      </c>
      <c r="K145" s="4" t="s">
        <v>40</v>
      </c>
      <c r="L145" s="4">
        <v>32</v>
      </c>
      <c r="M145" s="4" t="s">
        <v>33</v>
      </c>
      <c r="O145" s="22">
        <f t="shared" si="4"/>
        <v>6666.666666666667</v>
      </c>
      <c r="P145" t="str">
        <f>IF(D145&gt;=70000,"Yes",IF(bike_buyers!D145&lt;=70000,"No"))</f>
        <v>Yes</v>
      </c>
      <c r="Q145" t="str">
        <f t="shared" si="5"/>
        <v/>
      </c>
    </row>
    <row r="146" spans="1:17" ht="14.25" customHeight="1" x14ac:dyDescent="0.2">
      <c r="A146" s="4">
        <v>20877</v>
      </c>
      <c r="B146" s="4" t="s">
        <v>38</v>
      </c>
      <c r="C146" s="4" t="s">
        <v>26</v>
      </c>
      <c r="D146" s="5">
        <v>30000</v>
      </c>
      <c r="E146" s="4">
        <v>1</v>
      </c>
      <c r="F146" s="4" t="s">
        <v>28</v>
      </c>
      <c r="G146" s="4" t="s">
        <v>35</v>
      </c>
      <c r="H146" s="4" t="s">
        <v>30</v>
      </c>
      <c r="I146" s="4">
        <v>0</v>
      </c>
      <c r="J146" s="4" t="s">
        <v>42</v>
      </c>
      <c r="K146" s="4" t="s">
        <v>32</v>
      </c>
      <c r="L146" s="4">
        <v>37</v>
      </c>
      <c r="M146" s="4" t="s">
        <v>30</v>
      </c>
      <c r="O146" s="22">
        <f t="shared" si="4"/>
        <v>2500</v>
      </c>
      <c r="P146" t="str">
        <f>IF(D146&gt;=70000,"Yes",IF(bike_buyers!D146&lt;=70000,"No"))</f>
        <v>No</v>
      </c>
      <c r="Q146" t="str">
        <f t="shared" si="5"/>
        <v>Yes</v>
      </c>
    </row>
    <row r="147" spans="1:17" ht="14.25" customHeight="1" x14ac:dyDescent="0.2">
      <c r="A147" s="4">
        <v>20729</v>
      </c>
      <c r="B147" s="4" t="s">
        <v>26</v>
      </c>
      <c r="C147" s="4" t="s">
        <v>27</v>
      </c>
      <c r="D147" s="5">
        <v>40000</v>
      </c>
      <c r="E147" s="4">
        <v>2</v>
      </c>
      <c r="F147" s="4" t="s">
        <v>34</v>
      </c>
      <c r="G147" s="4" t="s">
        <v>35</v>
      </c>
      <c r="H147" s="4" t="s">
        <v>33</v>
      </c>
      <c r="I147" s="4">
        <v>1</v>
      </c>
      <c r="J147" s="4" t="s">
        <v>31</v>
      </c>
      <c r="K147" s="4" t="s">
        <v>32</v>
      </c>
      <c r="L147" s="4">
        <v>34</v>
      </c>
      <c r="M147" s="4" t="s">
        <v>33</v>
      </c>
      <c r="O147" s="22">
        <f t="shared" si="4"/>
        <v>3333.3333333333335</v>
      </c>
      <c r="P147" t="str">
        <f>IF(D147&gt;=70000,"Yes",IF(bike_buyers!D147&lt;=70000,"No"))</f>
        <v>No</v>
      </c>
      <c r="Q147" t="str">
        <f t="shared" si="5"/>
        <v/>
      </c>
    </row>
    <row r="148" spans="1:17" ht="14.25" customHeight="1" x14ac:dyDescent="0.2">
      <c r="A148" s="4">
        <v>22464</v>
      </c>
      <c r="B148" s="4" t="s">
        <v>26</v>
      </c>
      <c r="C148" s="4" t="s">
        <v>26</v>
      </c>
      <c r="D148" s="5">
        <v>40000</v>
      </c>
      <c r="E148" s="4">
        <v>0</v>
      </c>
      <c r="F148" s="4" t="s">
        <v>47</v>
      </c>
      <c r="G148" s="4" t="s">
        <v>35</v>
      </c>
      <c r="H148" s="4" t="s">
        <v>30</v>
      </c>
      <c r="I148" s="4">
        <v>0</v>
      </c>
      <c r="J148" s="4" t="s">
        <v>31</v>
      </c>
      <c r="K148" s="4" t="s">
        <v>32</v>
      </c>
      <c r="L148" s="4">
        <v>37</v>
      </c>
      <c r="M148" s="4" t="s">
        <v>30</v>
      </c>
      <c r="O148" s="22">
        <f t="shared" si="4"/>
        <v>3333.3333333333335</v>
      </c>
      <c r="P148" t="str">
        <f>IF(D148&gt;=70000,"Yes",IF(bike_buyers!D148&lt;=70000,"No"))</f>
        <v>No</v>
      </c>
      <c r="Q148" t="str">
        <f t="shared" si="5"/>
        <v/>
      </c>
    </row>
    <row r="149" spans="1:17" ht="14.25" customHeight="1" x14ac:dyDescent="0.2">
      <c r="A149" s="4">
        <v>19475</v>
      </c>
      <c r="B149" s="4" t="s">
        <v>26</v>
      </c>
      <c r="C149" s="4" t="s">
        <v>27</v>
      </c>
      <c r="D149" s="5">
        <v>40000</v>
      </c>
      <c r="E149" s="4">
        <v>0</v>
      </c>
      <c r="F149" s="4" t="s">
        <v>28</v>
      </c>
      <c r="G149" s="4" t="s">
        <v>36</v>
      </c>
      <c r="H149" s="4" t="s">
        <v>33</v>
      </c>
      <c r="I149" s="4">
        <v>0</v>
      </c>
      <c r="J149" s="4" t="s">
        <v>31</v>
      </c>
      <c r="K149" s="4" t="s">
        <v>32</v>
      </c>
      <c r="L149" s="4">
        <v>40</v>
      </c>
      <c r="M149" s="4" t="s">
        <v>30</v>
      </c>
      <c r="O149" s="22">
        <f t="shared" si="4"/>
        <v>3333.3333333333335</v>
      </c>
      <c r="P149" t="str">
        <f>IF(D149&gt;=70000,"Yes",IF(bike_buyers!D149&lt;=70000,"No"))</f>
        <v>No</v>
      </c>
      <c r="Q149" t="str">
        <f t="shared" si="5"/>
        <v/>
      </c>
    </row>
    <row r="150" spans="1:17" ht="14.25" customHeight="1" x14ac:dyDescent="0.2">
      <c r="A150" s="4">
        <v>19675</v>
      </c>
      <c r="B150" s="4" t="s">
        <v>26</v>
      </c>
      <c r="C150" s="4" t="s">
        <v>26</v>
      </c>
      <c r="D150" s="5">
        <v>20000</v>
      </c>
      <c r="E150" s="4">
        <v>4</v>
      </c>
      <c r="F150" s="4" t="s">
        <v>43</v>
      </c>
      <c r="G150" s="4" t="s">
        <v>29</v>
      </c>
      <c r="H150" s="4" t="s">
        <v>30</v>
      </c>
      <c r="I150" s="4">
        <v>2</v>
      </c>
      <c r="J150" s="4" t="s">
        <v>39</v>
      </c>
      <c r="K150" s="4" t="s">
        <v>40</v>
      </c>
      <c r="L150" s="4">
        <v>60</v>
      </c>
      <c r="M150" s="4" t="s">
        <v>33</v>
      </c>
      <c r="O150" s="22">
        <f t="shared" si="4"/>
        <v>1666.6666666666667</v>
      </c>
      <c r="P150" t="str">
        <f>IF(D150&gt;=70000,"Yes",IF(bike_buyers!D150&lt;=70000,"No"))</f>
        <v>No</v>
      </c>
      <c r="Q150" t="str">
        <f t="shared" si="5"/>
        <v/>
      </c>
    </row>
    <row r="151" spans="1:17" ht="14.25" customHeight="1" x14ac:dyDescent="0.2">
      <c r="A151" s="9">
        <v>12728</v>
      </c>
      <c r="B151" s="9" t="s">
        <v>38</v>
      </c>
      <c r="C151" s="9" t="s">
        <v>26</v>
      </c>
      <c r="D151" s="10">
        <v>30000</v>
      </c>
      <c r="E151" s="9">
        <v>0</v>
      </c>
      <c r="F151" s="9" t="s">
        <v>34</v>
      </c>
      <c r="G151" s="9" t="s">
        <v>35</v>
      </c>
      <c r="H151" s="9" t="s">
        <v>33</v>
      </c>
      <c r="I151" s="9">
        <v>1</v>
      </c>
      <c r="J151" s="9" t="s">
        <v>42</v>
      </c>
      <c r="K151" s="9" t="s">
        <v>32</v>
      </c>
      <c r="L151" s="9">
        <v>27</v>
      </c>
      <c r="M151" s="9" t="s">
        <v>33</v>
      </c>
      <c r="N151" s="11"/>
      <c r="O151" s="24">
        <f t="shared" si="4"/>
        <v>2500</v>
      </c>
      <c r="P151" t="str">
        <f>IF(D151&gt;=70000,"Yes",IF(bike_buyers!D151&lt;=70000,"No"))</f>
        <v>No</v>
      </c>
      <c r="Q151" t="str">
        <f t="shared" si="5"/>
        <v/>
      </c>
    </row>
    <row r="152" spans="1:17" ht="14.25" customHeight="1" x14ac:dyDescent="0.2">
      <c r="A152" s="4">
        <v>26154</v>
      </c>
      <c r="B152" s="4" t="s">
        <v>26</v>
      </c>
      <c r="C152" s="4" t="s">
        <v>26</v>
      </c>
      <c r="D152" s="5">
        <v>60000</v>
      </c>
      <c r="E152" s="4">
        <v>1</v>
      </c>
      <c r="F152" s="4" t="s">
        <v>34</v>
      </c>
      <c r="G152" s="4" t="s">
        <v>29</v>
      </c>
      <c r="H152" s="4" t="s">
        <v>30</v>
      </c>
      <c r="I152" s="4">
        <v>1</v>
      </c>
      <c r="J152" s="4" t="s">
        <v>39</v>
      </c>
      <c r="K152" s="4" t="s">
        <v>40</v>
      </c>
      <c r="L152" s="4">
        <v>43</v>
      </c>
      <c r="M152" s="4" t="s">
        <v>30</v>
      </c>
      <c r="O152" s="22">
        <f t="shared" si="4"/>
        <v>5000</v>
      </c>
      <c r="P152" t="str">
        <f>IF(D152&gt;=70000,"Yes",IF(bike_buyers!D152&lt;=70000,"No"))</f>
        <v>No</v>
      </c>
      <c r="Q152" t="str">
        <f t="shared" si="5"/>
        <v/>
      </c>
    </row>
    <row r="153" spans="1:17" ht="14.25" customHeight="1" x14ac:dyDescent="0.2">
      <c r="A153" s="6">
        <v>29117</v>
      </c>
      <c r="B153" s="6" t="s">
        <v>38</v>
      </c>
      <c r="C153" s="6" t="s">
        <v>26</v>
      </c>
      <c r="D153" s="7">
        <v>100000</v>
      </c>
      <c r="E153" s="6">
        <v>1</v>
      </c>
      <c r="F153" s="6" t="s">
        <v>28</v>
      </c>
      <c r="G153" s="6" t="s">
        <v>44</v>
      </c>
      <c r="H153" s="6" t="s">
        <v>33</v>
      </c>
      <c r="I153" s="6">
        <v>3</v>
      </c>
      <c r="J153" s="6" t="s">
        <v>31</v>
      </c>
      <c r="K153" s="6" t="s">
        <v>40</v>
      </c>
      <c r="L153" s="6">
        <v>48</v>
      </c>
      <c r="M153" s="6" t="s">
        <v>33</v>
      </c>
      <c r="N153" s="8"/>
      <c r="O153" s="23">
        <f t="shared" si="4"/>
        <v>8333.3333333333339</v>
      </c>
      <c r="P153" t="str">
        <f>IF(D153&gt;=70000,"Yes",IF(bike_buyers!D153&lt;=70000,"No"))</f>
        <v>Yes</v>
      </c>
      <c r="Q153" t="str">
        <f t="shared" si="5"/>
        <v/>
      </c>
    </row>
    <row r="154" spans="1:17" ht="14.25" customHeight="1" x14ac:dyDescent="0.2">
      <c r="A154" s="4">
        <v>17845</v>
      </c>
      <c r="B154" s="4" t="s">
        <v>38</v>
      </c>
      <c r="C154" s="4" t="s">
        <v>27</v>
      </c>
      <c r="D154" s="5">
        <v>20000</v>
      </c>
      <c r="E154" s="4">
        <v>0</v>
      </c>
      <c r="F154" s="4" t="s">
        <v>45</v>
      </c>
      <c r="G154" s="4" t="s">
        <v>41</v>
      </c>
      <c r="H154" s="4" t="s">
        <v>33</v>
      </c>
      <c r="I154" s="4">
        <v>2</v>
      </c>
      <c r="J154" s="4" t="s">
        <v>42</v>
      </c>
      <c r="K154" s="4" t="s">
        <v>32</v>
      </c>
      <c r="L154" s="4">
        <v>32</v>
      </c>
      <c r="M154" s="4" t="s">
        <v>33</v>
      </c>
      <c r="O154" s="22">
        <f t="shared" si="4"/>
        <v>1666.6666666666667</v>
      </c>
      <c r="P154" t="str">
        <f>IF(D154&gt;=70000,"Yes",IF(bike_buyers!D154&lt;=70000,"No"))</f>
        <v>No</v>
      </c>
      <c r="Q154" t="str">
        <f t="shared" si="5"/>
        <v/>
      </c>
    </row>
    <row r="155" spans="1:17" ht="14.25" customHeight="1" x14ac:dyDescent="0.2">
      <c r="A155" s="6">
        <v>25058</v>
      </c>
      <c r="B155" s="6" t="s">
        <v>26</v>
      </c>
      <c r="C155" s="6" t="s">
        <v>26</v>
      </c>
      <c r="D155" s="7">
        <v>100000</v>
      </c>
      <c r="E155" s="6">
        <v>1</v>
      </c>
      <c r="F155" s="6" t="s">
        <v>28</v>
      </c>
      <c r="G155" s="6" t="s">
        <v>44</v>
      </c>
      <c r="H155" s="6" t="s">
        <v>30</v>
      </c>
      <c r="I155" s="6">
        <v>3</v>
      </c>
      <c r="J155" s="6" t="s">
        <v>37</v>
      </c>
      <c r="K155" s="6" t="s">
        <v>40</v>
      </c>
      <c r="L155" s="6">
        <v>47</v>
      </c>
      <c r="M155" s="6" t="s">
        <v>33</v>
      </c>
      <c r="N155" s="8"/>
      <c r="O155" s="23">
        <f t="shared" si="4"/>
        <v>8333.3333333333339</v>
      </c>
      <c r="P155" t="str">
        <f>IF(D155&gt;=70000,"Yes",IF(bike_buyers!D155&lt;=70000,"No"))</f>
        <v>Yes</v>
      </c>
      <c r="Q155" t="str">
        <f t="shared" si="5"/>
        <v/>
      </c>
    </row>
    <row r="156" spans="1:17" ht="14.25" customHeight="1" x14ac:dyDescent="0.2">
      <c r="A156" s="4">
        <v>23426</v>
      </c>
      <c r="B156" s="4" t="s">
        <v>38</v>
      </c>
      <c r="C156" s="4" t="s">
        <v>26</v>
      </c>
      <c r="D156" s="5">
        <v>80000</v>
      </c>
      <c r="E156" s="4">
        <v>5</v>
      </c>
      <c r="F156" s="4" t="s">
        <v>47</v>
      </c>
      <c r="G156" s="4" t="s">
        <v>44</v>
      </c>
      <c r="H156" s="4" t="s">
        <v>30</v>
      </c>
      <c r="I156" s="4">
        <v>3</v>
      </c>
      <c r="J156" s="4" t="s">
        <v>31</v>
      </c>
      <c r="K156" s="4" t="s">
        <v>40</v>
      </c>
      <c r="L156" s="4">
        <v>40</v>
      </c>
      <c r="M156" s="4" t="s">
        <v>33</v>
      </c>
      <c r="O156" s="22">
        <f t="shared" si="4"/>
        <v>6666.666666666667</v>
      </c>
      <c r="P156" t="str">
        <f>IF(D156&gt;=70000,"Yes",IF(bike_buyers!D156&lt;=70000,"No"))</f>
        <v>Yes</v>
      </c>
      <c r="Q156" t="str">
        <f t="shared" si="5"/>
        <v/>
      </c>
    </row>
    <row r="157" spans="1:17" ht="14.25" customHeight="1" x14ac:dyDescent="0.2">
      <c r="A157" s="4">
        <v>14798</v>
      </c>
      <c r="B157" s="4" t="s">
        <v>38</v>
      </c>
      <c r="C157" s="4" t="s">
        <v>27</v>
      </c>
      <c r="D157" s="5">
        <v>10000</v>
      </c>
      <c r="E157" s="4">
        <v>4</v>
      </c>
      <c r="F157" s="4" t="s">
        <v>45</v>
      </c>
      <c r="G157" s="4" t="s">
        <v>41</v>
      </c>
      <c r="H157" s="4" t="s">
        <v>30</v>
      </c>
      <c r="I157" s="4">
        <v>2</v>
      </c>
      <c r="J157" s="4" t="s">
        <v>31</v>
      </c>
      <c r="K157" s="4" t="s">
        <v>32</v>
      </c>
      <c r="L157" s="4">
        <v>41</v>
      </c>
      <c r="M157" s="4" t="s">
        <v>30</v>
      </c>
      <c r="O157" s="22">
        <f t="shared" si="4"/>
        <v>833.33333333333337</v>
      </c>
      <c r="P157" t="str">
        <f>IF(D157&gt;=70000,"Yes",IF(bike_buyers!D157&lt;=70000,"No"))</f>
        <v>No</v>
      </c>
      <c r="Q157" t="str">
        <f t="shared" si="5"/>
        <v/>
      </c>
    </row>
    <row r="158" spans="1:17" ht="14.25" customHeight="1" x14ac:dyDescent="0.2">
      <c r="A158" s="6">
        <v>12664</v>
      </c>
      <c r="B158" s="6" t="s">
        <v>26</v>
      </c>
      <c r="C158" s="6" t="s">
        <v>27</v>
      </c>
      <c r="D158" s="7">
        <v>130000</v>
      </c>
      <c r="E158" s="6">
        <v>5</v>
      </c>
      <c r="F158" s="6" t="s">
        <v>34</v>
      </c>
      <c r="G158" s="6" t="s">
        <v>36</v>
      </c>
      <c r="H158" s="6" t="s">
        <v>30</v>
      </c>
      <c r="I158" s="6">
        <v>4</v>
      </c>
      <c r="J158" s="6" t="s">
        <v>31</v>
      </c>
      <c r="K158" s="6" t="s">
        <v>32</v>
      </c>
      <c r="L158" s="6">
        <v>59</v>
      </c>
      <c r="M158" s="6" t="s">
        <v>33</v>
      </c>
      <c r="N158" s="8"/>
      <c r="O158" s="23">
        <f t="shared" si="4"/>
        <v>10833.333333333334</v>
      </c>
      <c r="P158" t="str">
        <f>IF(D158&gt;=70000,"Yes",IF(bike_buyers!D158&lt;=70000,"No"))</f>
        <v>Yes</v>
      </c>
      <c r="Q158" t="str">
        <f t="shared" si="5"/>
        <v/>
      </c>
    </row>
    <row r="159" spans="1:17" ht="14.25" customHeight="1" x14ac:dyDescent="0.2">
      <c r="A159" s="4">
        <v>23979</v>
      </c>
      <c r="B159" s="4" t="s">
        <v>38</v>
      </c>
      <c r="C159" s="4" t="s">
        <v>26</v>
      </c>
      <c r="D159" s="5">
        <v>10000</v>
      </c>
      <c r="E159" s="4">
        <v>2</v>
      </c>
      <c r="F159" s="4" t="s">
        <v>34</v>
      </c>
      <c r="G159" s="4" t="s">
        <v>41</v>
      </c>
      <c r="H159" s="4" t="s">
        <v>33</v>
      </c>
      <c r="I159" s="4">
        <v>0</v>
      </c>
      <c r="J159" s="4" t="s">
        <v>31</v>
      </c>
      <c r="K159" s="4" t="s">
        <v>32</v>
      </c>
      <c r="L159" s="4">
        <v>50</v>
      </c>
      <c r="M159" s="4" t="s">
        <v>33</v>
      </c>
      <c r="O159" s="22">
        <f t="shared" si="4"/>
        <v>833.33333333333337</v>
      </c>
      <c r="P159" t="str">
        <f>IF(D159&gt;=70000,"Yes",IF(bike_buyers!D159&lt;=70000,"No"))</f>
        <v>No</v>
      </c>
      <c r="Q159" t="str">
        <f t="shared" si="5"/>
        <v/>
      </c>
    </row>
    <row r="160" spans="1:17" ht="14.25" customHeight="1" x14ac:dyDescent="0.2">
      <c r="A160" s="4">
        <v>25605</v>
      </c>
      <c r="B160" s="4" t="s">
        <v>38</v>
      </c>
      <c r="C160" s="4" t="s">
        <v>27</v>
      </c>
      <c r="D160" s="5">
        <v>20000</v>
      </c>
      <c r="E160" s="4">
        <v>2</v>
      </c>
      <c r="F160" s="4" t="s">
        <v>34</v>
      </c>
      <c r="G160" s="4" t="s">
        <v>41</v>
      </c>
      <c r="H160" s="4" t="s">
        <v>33</v>
      </c>
      <c r="I160" s="4">
        <v>1</v>
      </c>
      <c r="J160" s="4" t="s">
        <v>31</v>
      </c>
      <c r="K160" s="4" t="s">
        <v>32</v>
      </c>
      <c r="L160" s="4">
        <v>54</v>
      </c>
      <c r="M160" s="4" t="s">
        <v>30</v>
      </c>
      <c r="O160" s="22">
        <f t="shared" si="4"/>
        <v>1666.6666666666667</v>
      </c>
      <c r="P160" t="str">
        <f>IF(D160&gt;=70000,"Yes",IF(bike_buyers!D160&lt;=70000,"No"))</f>
        <v>No</v>
      </c>
      <c r="Q160" t="str">
        <f t="shared" si="5"/>
        <v/>
      </c>
    </row>
    <row r="161" spans="1:17" ht="14.25" customHeight="1" x14ac:dyDescent="0.2">
      <c r="A161" s="4">
        <v>20797</v>
      </c>
      <c r="B161" s="4" t="s">
        <v>26</v>
      </c>
      <c r="C161" s="4" t="s">
        <v>27</v>
      </c>
      <c r="D161" s="5">
        <v>10000</v>
      </c>
      <c r="E161" s="4">
        <v>1</v>
      </c>
      <c r="F161" s="4" t="s">
        <v>28</v>
      </c>
      <c r="G161" s="4" t="s">
        <v>41</v>
      </c>
      <c r="H161" s="4" t="s">
        <v>30</v>
      </c>
      <c r="I161" s="4">
        <v>0</v>
      </c>
      <c r="J161" s="4" t="s">
        <v>31</v>
      </c>
      <c r="K161" s="4" t="s">
        <v>32</v>
      </c>
      <c r="L161" s="4">
        <v>48</v>
      </c>
      <c r="M161" s="4" t="s">
        <v>33</v>
      </c>
      <c r="O161" s="22">
        <f t="shared" si="4"/>
        <v>833.33333333333337</v>
      </c>
      <c r="P161" t="str">
        <f>IF(D161&gt;=70000,"Yes",IF(bike_buyers!D161&lt;=70000,"No"))</f>
        <v>No</v>
      </c>
      <c r="Q161" t="str">
        <f t="shared" si="5"/>
        <v/>
      </c>
    </row>
    <row r="162" spans="1:17" ht="14.25" customHeight="1" x14ac:dyDescent="0.2">
      <c r="A162" s="4">
        <v>21980</v>
      </c>
      <c r="B162" s="4" t="s">
        <v>38</v>
      </c>
      <c r="C162" s="4" t="s">
        <v>27</v>
      </c>
      <c r="D162" s="5">
        <v>60000</v>
      </c>
      <c r="E162" s="4">
        <v>1</v>
      </c>
      <c r="F162" s="4" t="s">
        <v>28</v>
      </c>
      <c r="G162" s="4" t="s">
        <v>36</v>
      </c>
      <c r="H162" s="4" t="s">
        <v>30</v>
      </c>
      <c r="I162" s="4">
        <v>1</v>
      </c>
      <c r="J162" s="4" t="s">
        <v>39</v>
      </c>
      <c r="K162" s="4" t="s">
        <v>40</v>
      </c>
      <c r="L162" s="4">
        <v>44</v>
      </c>
      <c r="M162" s="4" t="s">
        <v>30</v>
      </c>
      <c r="O162" s="22">
        <f t="shared" si="4"/>
        <v>5000</v>
      </c>
      <c r="P162" t="str">
        <f>IF(D162&gt;=70000,"Yes",IF(bike_buyers!D162&lt;=70000,"No"))</f>
        <v>No</v>
      </c>
      <c r="Q162" t="str">
        <f t="shared" si="5"/>
        <v/>
      </c>
    </row>
    <row r="163" spans="1:17" ht="14.25" customHeight="1" x14ac:dyDescent="0.2">
      <c r="A163" s="4">
        <v>25460</v>
      </c>
      <c r="B163" s="4" t="s">
        <v>26</v>
      </c>
      <c r="C163" s="4" t="s">
        <v>27</v>
      </c>
      <c r="D163" s="5">
        <v>20000</v>
      </c>
      <c r="E163" s="4">
        <v>2</v>
      </c>
      <c r="F163" s="4" t="s">
        <v>43</v>
      </c>
      <c r="G163" s="4" t="s">
        <v>41</v>
      </c>
      <c r="H163" s="4" t="s">
        <v>30</v>
      </c>
      <c r="I163" s="4">
        <v>0</v>
      </c>
      <c r="J163" s="4" t="s">
        <v>31</v>
      </c>
      <c r="K163" s="4" t="s">
        <v>32</v>
      </c>
      <c r="L163" s="4">
        <v>40</v>
      </c>
      <c r="M163" s="4" t="s">
        <v>30</v>
      </c>
      <c r="O163" s="22">
        <f t="shared" si="4"/>
        <v>1666.6666666666667</v>
      </c>
      <c r="P163" t="str">
        <f>IF(D163&gt;=70000,"Yes",IF(bike_buyers!D163&lt;=70000,"No"))</f>
        <v>No</v>
      </c>
      <c r="Q163" t="str">
        <f t="shared" si="5"/>
        <v/>
      </c>
    </row>
    <row r="164" spans="1:17" ht="14.25" customHeight="1" x14ac:dyDescent="0.2">
      <c r="A164" s="4">
        <v>29181</v>
      </c>
      <c r="B164" s="4" t="s">
        <v>38</v>
      </c>
      <c r="C164" s="4" t="s">
        <v>27</v>
      </c>
      <c r="D164" s="5">
        <v>60000</v>
      </c>
      <c r="E164" s="4">
        <v>2</v>
      </c>
      <c r="F164" s="4" t="s">
        <v>28</v>
      </c>
      <c r="G164" s="4" t="s">
        <v>36</v>
      </c>
      <c r="H164" s="4" t="s">
        <v>33</v>
      </c>
      <c r="I164" s="4">
        <v>1</v>
      </c>
      <c r="J164" s="4" t="s">
        <v>31</v>
      </c>
      <c r="K164" s="4" t="s">
        <v>40</v>
      </c>
      <c r="L164" s="4">
        <v>38</v>
      </c>
      <c r="M164" s="4" t="s">
        <v>30</v>
      </c>
      <c r="O164" s="22">
        <f t="shared" si="4"/>
        <v>5000</v>
      </c>
      <c r="P164" t="str">
        <f>IF(D164&gt;=70000,"Yes",IF(bike_buyers!D164&lt;=70000,"No"))</f>
        <v>No</v>
      </c>
      <c r="Q164" t="str">
        <f t="shared" si="5"/>
        <v/>
      </c>
    </row>
    <row r="165" spans="1:17" ht="14.25" customHeight="1" x14ac:dyDescent="0.2">
      <c r="A165" s="4">
        <v>24279</v>
      </c>
      <c r="B165" s="4" t="s">
        <v>38</v>
      </c>
      <c r="C165" s="4" t="s">
        <v>26</v>
      </c>
      <c r="D165" s="5">
        <v>40000</v>
      </c>
      <c r="E165" s="4">
        <v>2</v>
      </c>
      <c r="F165" s="4" t="s">
        <v>34</v>
      </c>
      <c r="G165" s="4" t="s">
        <v>29</v>
      </c>
      <c r="H165" s="4" t="s">
        <v>33</v>
      </c>
      <c r="I165" s="4">
        <v>2</v>
      </c>
      <c r="J165" s="4" t="s">
        <v>42</v>
      </c>
      <c r="K165" s="4" t="s">
        <v>40</v>
      </c>
      <c r="L165" s="4">
        <v>52</v>
      </c>
      <c r="M165" s="4" t="s">
        <v>33</v>
      </c>
      <c r="O165" s="22">
        <f t="shared" si="4"/>
        <v>3333.3333333333335</v>
      </c>
      <c r="P165" t="str">
        <f>IF(D165&gt;=70000,"Yes",IF(bike_buyers!D165&lt;=70000,"No"))</f>
        <v>No</v>
      </c>
      <c r="Q165" t="str">
        <f t="shared" si="5"/>
        <v/>
      </c>
    </row>
    <row r="166" spans="1:17" ht="14.25" customHeight="1" x14ac:dyDescent="0.2">
      <c r="A166" s="4">
        <v>22402</v>
      </c>
      <c r="B166" s="4" t="s">
        <v>26</v>
      </c>
      <c r="C166" s="4" t="s">
        <v>26</v>
      </c>
      <c r="D166" s="5">
        <v>10000</v>
      </c>
      <c r="E166" s="4">
        <v>0</v>
      </c>
      <c r="F166" s="4" t="s">
        <v>34</v>
      </c>
      <c r="G166" s="4" t="s">
        <v>41</v>
      </c>
      <c r="H166" s="4" t="s">
        <v>30</v>
      </c>
      <c r="I166" s="4">
        <v>1</v>
      </c>
      <c r="J166" s="4" t="s">
        <v>37</v>
      </c>
      <c r="K166" s="4" t="s">
        <v>40</v>
      </c>
      <c r="L166" s="4">
        <v>25</v>
      </c>
      <c r="M166" s="4" t="s">
        <v>30</v>
      </c>
      <c r="O166" s="22">
        <f t="shared" si="4"/>
        <v>833.33333333333337</v>
      </c>
      <c r="P166" t="str">
        <f>IF(D166&gt;=70000,"Yes",IF(bike_buyers!D166&lt;=70000,"No"))</f>
        <v>No</v>
      </c>
      <c r="Q166" t="str">
        <f t="shared" si="5"/>
        <v/>
      </c>
    </row>
    <row r="167" spans="1:17" ht="14.25" customHeight="1" x14ac:dyDescent="0.2">
      <c r="A167" s="9">
        <v>15465</v>
      </c>
      <c r="B167" s="9" t="s">
        <v>26</v>
      </c>
      <c r="C167" s="9" t="s">
        <v>27</v>
      </c>
      <c r="D167" s="10">
        <v>10000</v>
      </c>
      <c r="E167" s="9">
        <v>0</v>
      </c>
      <c r="F167" s="9" t="s">
        <v>34</v>
      </c>
      <c r="G167" s="9" t="s">
        <v>41</v>
      </c>
      <c r="H167" s="9" t="s">
        <v>33</v>
      </c>
      <c r="I167" s="9">
        <v>1</v>
      </c>
      <c r="J167" s="9" t="s">
        <v>31</v>
      </c>
      <c r="K167" s="9" t="s">
        <v>40</v>
      </c>
      <c r="L167" s="9">
        <v>25</v>
      </c>
      <c r="M167" s="9" t="s">
        <v>33</v>
      </c>
      <c r="N167" s="11"/>
      <c r="O167" s="24">
        <f t="shared" si="4"/>
        <v>833.33333333333337</v>
      </c>
      <c r="P167" t="str">
        <f>IF(D167&gt;=70000,"Yes",IF(bike_buyers!D167&lt;=70000,"No"))</f>
        <v>No</v>
      </c>
      <c r="Q167" t="str">
        <f t="shared" si="5"/>
        <v/>
      </c>
    </row>
    <row r="168" spans="1:17" ht="14.25" customHeight="1" x14ac:dyDescent="0.2">
      <c r="A168" s="6">
        <v>26757</v>
      </c>
      <c r="B168" s="6" t="s">
        <v>38</v>
      </c>
      <c r="C168" s="6" t="s">
        <v>26</v>
      </c>
      <c r="D168" s="7">
        <v>90000</v>
      </c>
      <c r="E168" s="6">
        <v>1</v>
      </c>
      <c r="F168" s="6" t="s">
        <v>28</v>
      </c>
      <c r="G168" s="6" t="s">
        <v>36</v>
      </c>
      <c r="H168" s="6" t="s">
        <v>30</v>
      </c>
      <c r="I168" s="6">
        <v>1</v>
      </c>
      <c r="J168" s="6" t="s">
        <v>37</v>
      </c>
      <c r="K168" s="6" t="s">
        <v>40</v>
      </c>
      <c r="L168" s="6">
        <v>47</v>
      </c>
      <c r="M168" s="6" t="s">
        <v>30</v>
      </c>
      <c r="N168" s="8"/>
      <c r="O168" s="23">
        <f t="shared" si="4"/>
        <v>7500</v>
      </c>
      <c r="P168" t="str">
        <f>IF(D168&gt;=70000,"Yes",IF(bike_buyers!D168&lt;=70000,"No"))</f>
        <v>Yes</v>
      </c>
      <c r="Q168" t="str">
        <f t="shared" si="5"/>
        <v/>
      </c>
    </row>
    <row r="169" spans="1:17" ht="14.25" customHeight="1" x14ac:dyDescent="0.2">
      <c r="A169" s="6">
        <v>14233</v>
      </c>
      <c r="B169" s="6" t="s">
        <v>38</v>
      </c>
      <c r="C169" s="6" t="s">
        <v>26</v>
      </c>
      <c r="D169" s="7">
        <v>100000</v>
      </c>
      <c r="E169" s="6">
        <v>0</v>
      </c>
      <c r="F169" s="6" t="s">
        <v>43</v>
      </c>
      <c r="G169" s="6" t="s">
        <v>44</v>
      </c>
      <c r="H169" s="6" t="s">
        <v>30</v>
      </c>
      <c r="I169" s="6">
        <v>3</v>
      </c>
      <c r="J169" s="6" t="s">
        <v>46</v>
      </c>
      <c r="K169" s="6" t="s">
        <v>40</v>
      </c>
      <c r="L169" s="6">
        <v>35</v>
      </c>
      <c r="M169" s="6" t="s">
        <v>33</v>
      </c>
      <c r="N169" s="8"/>
      <c r="O169" s="23">
        <f t="shared" si="4"/>
        <v>8333.3333333333339</v>
      </c>
      <c r="P169" t="str">
        <f>IF(D169&gt;=70000,"Yes",IF(bike_buyers!D169&lt;=70000,"No"))</f>
        <v>Yes</v>
      </c>
      <c r="Q169" t="str">
        <f t="shared" si="5"/>
        <v/>
      </c>
    </row>
    <row r="170" spans="1:17" ht="14.25" customHeight="1" x14ac:dyDescent="0.2">
      <c r="A170" s="4">
        <v>14058</v>
      </c>
      <c r="B170" s="4" t="s">
        <v>38</v>
      </c>
      <c r="C170" s="4" t="s">
        <v>26</v>
      </c>
      <c r="D170" s="5">
        <v>70000</v>
      </c>
      <c r="E170" s="4">
        <v>0</v>
      </c>
      <c r="F170" s="4" t="s">
        <v>28</v>
      </c>
      <c r="G170" s="4" t="s">
        <v>36</v>
      </c>
      <c r="H170" s="4" t="s">
        <v>33</v>
      </c>
      <c r="I170" s="4">
        <v>1</v>
      </c>
      <c r="J170" s="4" t="s">
        <v>39</v>
      </c>
      <c r="K170" s="4" t="s">
        <v>40</v>
      </c>
      <c r="L170" s="4">
        <v>41</v>
      </c>
      <c r="M170" s="4" t="s">
        <v>30</v>
      </c>
      <c r="O170" s="22">
        <f t="shared" si="4"/>
        <v>5833.333333333333</v>
      </c>
      <c r="P170" t="str">
        <f>IF(D170&gt;=70000,"Yes",IF(bike_buyers!D170&lt;=70000,"No"))</f>
        <v>Yes</v>
      </c>
      <c r="Q170" t="str">
        <f t="shared" si="5"/>
        <v>Yes</v>
      </c>
    </row>
    <row r="171" spans="1:17" ht="14.25" customHeight="1" x14ac:dyDescent="0.2">
      <c r="A171" s="4">
        <v>12273</v>
      </c>
      <c r="B171" s="4" t="s">
        <v>26</v>
      </c>
      <c r="C171" s="4" t="s">
        <v>26</v>
      </c>
      <c r="D171" s="5">
        <v>30000</v>
      </c>
      <c r="E171" s="4">
        <v>1</v>
      </c>
      <c r="F171" s="4" t="s">
        <v>28</v>
      </c>
      <c r="G171" s="4" t="s">
        <v>35</v>
      </c>
      <c r="H171" s="4" t="s">
        <v>30</v>
      </c>
      <c r="I171" s="4">
        <v>0</v>
      </c>
      <c r="J171" s="4" t="s">
        <v>31</v>
      </c>
      <c r="K171" s="4" t="s">
        <v>32</v>
      </c>
      <c r="L171" s="4">
        <v>47</v>
      </c>
      <c r="M171" s="4" t="s">
        <v>33</v>
      </c>
      <c r="O171" s="22">
        <f t="shared" si="4"/>
        <v>2500</v>
      </c>
      <c r="P171" t="str">
        <f>IF(D171&gt;=70000,"Yes",IF(bike_buyers!D171&lt;=70000,"No"))</f>
        <v>No</v>
      </c>
      <c r="Q171" t="str">
        <f t="shared" si="5"/>
        <v/>
      </c>
    </row>
    <row r="172" spans="1:17" ht="14.25" customHeight="1" x14ac:dyDescent="0.2">
      <c r="A172" s="6">
        <v>17203</v>
      </c>
      <c r="B172" s="6" t="s">
        <v>26</v>
      </c>
      <c r="C172" s="6" t="s">
        <v>27</v>
      </c>
      <c r="D172" s="7">
        <v>130000</v>
      </c>
      <c r="E172" s="6">
        <v>4</v>
      </c>
      <c r="F172" s="6" t="s">
        <v>34</v>
      </c>
      <c r="G172" s="6" t="s">
        <v>36</v>
      </c>
      <c r="H172" s="6" t="s">
        <v>30</v>
      </c>
      <c r="I172" s="6">
        <v>4</v>
      </c>
      <c r="J172" s="6" t="s">
        <v>39</v>
      </c>
      <c r="K172" s="6" t="s">
        <v>32</v>
      </c>
      <c r="L172" s="6">
        <v>61</v>
      </c>
      <c r="M172" s="6" t="s">
        <v>30</v>
      </c>
      <c r="N172" s="8"/>
      <c r="O172" s="23">
        <f t="shared" si="4"/>
        <v>10833.333333333334</v>
      </c>
      <c r="P172" t="str">
        <f>IF(D172&gt;=70000,"Yes",IF(bike_buyers!D172&lt;=70000,"No"))</f>
        <v>Yes</v>
      </c>
      <c r="Q172" t="str">
        <f t="shared" si="5"/>
        <v/>
      </c>
    </row>
    <row r="173" spans="1:17" ht="14.25" customHeight="1" x14ac:dyDescent="0.2">
      <c r="A173" s="4">
        <v>18144</v>
      </c>
      <c r="B173" s="4" t="s">
        <v>26</v>
      </c>
      <c r="C173" s="4" t="s">
        <v>27</v>
      </c>
      <c r="D173" s="5">
        <v>80000</v>
      </c>
      <c r="E173" s="4">
        <v>5</v>
      </c>
      <c r="F173" s="4" t="s">
        <v>28</v>
      </c>
      <c r="G173" s="4" t="s">
        <v>44</v>
      </c>
      <c r="H173" s="4" t="s">
        <v>30</v>
      </c>
      <c r="I173" s="4">
        <v>2</v>
      </c>
      <c r="J173" s="4" t="s">
        <v>37</v>
      </c>
      <c r="K173" s="4" t="s">
        <v>32</v>
      </c>
      <c r="L173" s="4">
        <v>61</v>
      </c>
      <c r="M173" s="4" t="s">
        <v>33</v>
      </c>
      <c r="O173" s="22">
        <f t="shared" si="4"/>
        <v>6666.666666666667</v>
      </c>
      <c r="P173" t="str">
        <f>IF(D173&gt;=70000,"Yes",IF(bike_buyers!D173&lt;=70000,"No"))</f>
        <v>Yes</v>
      </c>
      <c r="Q173" t="str">
        <f t="shared" si="5"/>
        <v/>
      </c>
    </row>
    <row r="174" spans="1:17" ht="14.25" customHeight="1" x14ac:dyDescent="0.2">
      <c r="A174" s="4">
        <v>23963</v>
      </c>
      <c r="B174" s="4" t="s">
        <v>26</v>
      </c>
      <c r="C174" s="4" t="s">
        <v>26</v>
      </c>
      <c r="D174" s="5">
        <v>10000</v>
      </c>
      <c r="E174" s="4">
        <v>0</v>
      </c>
      <c r="F174" s="4" t="s">
        <v>45</v>
      </c>
      <c r="G174" s="4" t="s">
        <v>41</v>
      </c>
      <c r="H174" s="4" t="s">
        <v>33</v>
      </c>
      <c r="I174" s="4">
        <v>2</v>
      </c>
      <c r="J174" s="4" t="s">
        <v>31</v>
      </c>
      <c r="K174" s="4" t="s">
        <v>32</v>
      </c>
      <c r="L174" s="4">
        <v>33</v>
      </c>
      <c r="M174" s="4" t="s">
        <v>33</v>
      </c>
      <c r="O174" s="22">
        <f t="shared" si="4"/>
        <v>833.33333333333337</v>
      </c>
      <c r="P174" t="str">
        <f>IF(D174&gt;=70000,"Yes",IF(bike_buyers!D174&lt;=70000,"No"))</f>
        <v>No</v>
      </c>
      <c r="Q174" t="str">
        <f t="shared" si="5"/>
        <v/>
      </c>
    </row>
    <row r="175" spans="1:17" ht="14.25" customHeight="1" x14ac:dyDescent="0.2">
      <c r="A175" s="9">
        <v>17907</v>
      </c>
      <c r="B175" s="9" t="s">
        <v>26</v>
      </c>
      <c r="C175" s="9" t="s">
        <v>27</v>
      </c>
      <c r="D175" s="10">
        <v>10000</v>
      </c>
      <c r="E175" s="9">
        <v>0</v>
      </c>
      <c r="F175" s="9" t="s">
        <v>34</v>
      </c>
      <c r="G175" s="9" t="s">
        <v>41</v>
      </c>
      <c r="H175" s="9" t="s">
        <v>30</v>
      </c>
      <c r="I175" s="9">
        <v>1</v>
      </c>
      <c r="J175" s="9" t="s">
        <v>37</v>
      </c>
      <c r="K175" s="9" t="s">
        <v>40</v>
      </c>
      <c r="L175" s="9">
        <v>27</v>
      </c>
      <c r="M175" s="9" t="s">
        <v>33</v>
      </c>
      <c r="N175" s="11"/>
      <c r="O175" s="24">
        <f t="shared" si="4"/>
        <v>833.33333333333337</v>
      </c>
      <c r="P175" t="str">
        <f>IF(D175&gt;=70000,"Yes",IF(bike_buyers!D175&lt;=70000,"No"))</f>
        <v>No</v>
      </c>
    </row>
    <row r="176" spans="1:17" ht="14.25" customHeight="1" x14ac:dyDescent="0.2">
      <c r="A176" s="4">
        <v>19442</v>
      </c>
      <c r="B176" s="4" t="s">
        <v>38</v>
      </c>
      <c r="C176" s="4" t="s">
        <v>26</v>
      </c>
      <c r="D176" s="5">
        <v>50000</v>
      </c>
      <c r="E176" s="4">
        <v>0</v>
      </c>
      <c r="F176" s="4" t="s">
        <v>47</v>
      </c>
      <c r="G176" s="4" t="s">
        <v>29</v>
      </c>
      <c r="H176" s="4" t="s">
        <v>30</v>
      </c>
      <c r="I176" s="4">
        <v>0</v>
      </c>
      <c r="J176" s="4" t="s">
        <v>31</v>
      </c>
      <c r="K176" s="4" t="s">
        <v>32</v>
      </c>
      <c r="L176" s="4">
        <v>37</v>
      </c>
      <c r="M176" s="4" t="s">
        <v>30</v>
      </c>
      <c r="O176" s="22">
        <f t="shared" si="4"/>
        <v>4166.666666666667</v>
      </c>
      <c r="P176" t="str">
        <f>IF(D176&gt;=70000,"Yes",IF(bike_buyers!D176&lt;=70000,"No"))</f>
        <v>No</v>
      </c>
    </row>
    <row r="177" spans="1:17" ht="14.25" customHeight="1" x14ac:dyDescent="0.2">
      <c r="A177" s="4">
        <v>17504</v>
      </c>
      <c r="B177" s="4" t="s">
        <v>38</v>
      </c>
      <c r="C177" s="4" t="s">
        <v>27</v>
      </c>
      <c r="D177" s="5">
        <v>80000</v>
      </c>
      <c r="E177" s="4">
        <v>2</v>
      </c>
      <c r="F177" s="4" t="s">
        <v>34</v>
      </c>
      <c r="G177" s="4" t="s">
        <v>29</v>
      </c>
      <c r="H177" s="4" t="s">
        <v>30</v>
      </c>
      <c r="I177" s="4">
        <v>2</v>
      </c>
      <c r="J177" s="4" t="s">
        <v>39</v>
      </c>
      <c r="K177" s="4" t="s">
        <v>40</v>
      </c>
      <c r="L177" s="4">
        <v>52</v>
      </c>
      <c r="M177" s="4" t="s">
        <v>30</v>
      </c>
      <c r="O177" s="22">
        <f t="shared" si="4"/>
        <v>6666.666666666667</v>
      </c>
      <c r="P177" t="str">
        <f>IF(D177&gt;=70000,"Yes",IF(bike_buyers!D177&lt;=70000,"No"))</f>
        <v>Yes</v>
      </c>
    </row>
    <row r="178" spans="1:17" ht="14.25" customHeight="1" x14ac:dyDescent="0.2">
      <c r="A178" s="4">
        <v>12253</v>
      </c>
      <c r="B178" s="4" t="s">
        <v>38</v>
      </c>
      <c r="C178" s="4" t="s">
        <v>27</v>
      </c>
      <c r="D178" s="5">
        <v>20000</v>
      </c>
      <c r="E178" s="4">
        <v>0</v>
      </c>
      <c r="F178" s="4" t="s">
        <v>34</v>
      </c>
      <c r="G178" s="4" t="s">
        <v>41</v>
      </c>
      <c r="H178" s="4" t="s">
        <v>30</v>
      </c>
      <c r="I178" s="4">
        <v>0</v>
      </c>
      <c r="J178" s="4" t="s">
        <v>31</v>
      </c>
      <c r="K178" s="4" t="s">
        <v>40</v>
      </c>
      <c r="L178" s="4">
        <v>29</v>
      </c>
      <c r="M178" s="4" t="s">
        <v>30</v>
      </c>
      <c r="O178" s="22">
        <f t="shared" si="4"/>
        <v>1666.6666666666667</v>
      </c>
      <c r="P178" t="str">
        <f>IF(D178&gt;=70000,"Yes",IF(bike_buyers!D178&lt;=70000,"No"))</f>
        <v>No</v>
      </c>
    </row>
    <row r="179" spans="1:17" ht="14.25" customHeight="1" x14ac:dyDescent="0.2">
      <c r="A179" s="6">
        <v>27304</v>
      </c>
      <c r="B179" s="6" t="s">
        <v>38</v>
      </c>
      <c r="C179" s="6" t="s">
        <v>27</v>
      </c>
      <c r="D179" s="7">
        <v>110000</v>
      </c>
      <c r="E179" s="6">
        <v>2</v>
      </c>
      <c r="F179" s="6" t="s">
        <v>34</v>
      </c>
      <c r="G179" s="6" t="s">
        <v>36</v>
      </c>
      <c r="H179" s="6" t="s">
        <v>33</v>
      </c>
      <c r="I179" s="6">
        <v>3</v>
      </c>
      <c r="J179" s="6" t="s">
        <v>39</v>
      </c>
      <c r="K179" s="6" t="s">
        <v>32</v>
      </c>
      <c r="L179" s="6">
        <v>48</v>
      </c>
      <c r="M179" s="6" t="s">
        <v>33</v>
      </c>
      <c r="N179" s="8"/>
      <c r="O179" s="23">
        <f t="shared" si="4"/>
        <v>9166.6666666666661</v>
      </c>
      <c r="P179" t="str">
        <f>IF(D179&gt;=70000,"Yes",IF(bike_buyers!D179&lt;=70000,"No"))</f>
        <v>Yes</v>
      </c>
      <c r="Q179" t="str">
        <f t="shared" ref="Q179:Q180" si="6">IF(AND(D176&gt;70000, L176&lt;40, M176="No"), "Yes", "")</f>
        <v/>
      </c>
    </row>
    <row r="180" spans="1:17" ht="14.25" customHeight="1" x14ac:dyDescent="0.2">
      <c r="A180" s="6">
        <v>14191</v>
      </c>
      <c r="B180" s="6" t="s">
        <v>26</v>
      </c>
      <c r="C180" s="6" t="s">
        <v>26</v>
      </c>
      <c r="D180" s="7">
        <v>160000</v>
      </c>
      <c r="E180" s="6">
        <v>4</v>
      </c>
      <c r="F180" s="6" t="s">
        <v>34</v>
      </c>
      <c r="G180" s="6" t="s">
        <v>36</v>
      </c>
      <c r="H180" s="6" t="s">
        <v>33</v>
      </c>
      <c r="I180" s="6">
        <v>2</v>
      </c>
      <c r="J180" s="6" t="s">
        <v>46</v>
      </c>
      <c r="K180" s="6" t="s">
        <v>32</v>
      </c>
      <c r="L180" s="6">
        <v>55</v>
      </c>
      <c r="M180" s="6" t="s">
        <v>30</v>
      </c>
      <c r="N180" s="8"/>
      <c r="O180" s="23">
        <f t="shared" si="4"/>
        <v>13333.333333333334</v>
      </c>
      <c r="P180" t="str">
        <f>IF(D180&gt;=70000,"Yes",IF(bike_buyers!D180&lt;=70000,"No"))</f>
        <v>Yes</v>
      </c>
      <c r="Q180" t="str">
        <f t="shared" si="6"/>
        <v/>
      </c>
    </row>
    <row r="181" spans="1:17" ht="14.25" customHeight="1" x14ac:dyDescent="0.2">
      <c r="A181" s="4">
        <v>12212</v>
      </c>
      <c r="B181" s="4" t="s">
        <v>26</v>
      </c>
      <c r="C181" s="4" t="s">
        <v>27</v>
      </c>
      <c r="D181" s="5">
        <v>10000</v>
      </c>
      <c r="E181" s="4">
        <v>0</v>
      </c>
      <c r="F181" s="4" t="s">
        <v>47</v>
      </c>
      <c r="G181" s="4" t="s">
        <v>41</v>
      </c>
      <c r="H181" s="4" t="s">
        <v>30</v>
      </c>
      <c r="I181" s="4">
        <v>0</v>
      </c>
      <c r="J181" s="4" t="s">
        <v>31</v>
      </c>
      <c r="K181" s="4" t="s">
        <v>32</v>
      </c>
      <c r="L181" s="4">
        <v>37</v>
      </c>
      <c r="M181" s="4" t="s">
        <v>30</v>
      </c>
      <c r="O181" s="22">
        <f t="shared" si="4"/>
        <v>833.33333333333337</v>
      </c>
      <c r="P181" t="str">
        <f>IF(D181&gt;=70000,"Yes",IF(bike_buyers!D181&lt;=70000,"No"))</f>
        <v>No</v>
      </c>
    </row>
    <row r="182" spans="1:17" ht="14.25" customHeight="1" x14ac:dyDescent="0.2">
      <c r="A182" s="4">
        <v>25529</v>
      </c>
      <c r="B182" s="4" t="s">
        <v>38</v>
      </c>
      <c r="C182" s="4" t="s">
        <v>26</v>
      </c>
      <c r="D182" s="5">
        <v>10000</v>
      </c>
      <c r="E182" s="4">
        <v>1</v>
      </c>
      <c r="F182" s="4" t="s">
        <v>47</v>
      </c>
      <c r="G182" s="4" t="s">
        <v>41</v>
      </c>
      <c r="H182" s="4" t="s">
        <v>30</v>
      </c>
      <c r="I182" s="4">
        <v>0</v>
      </c>
      <c r="J182" s="4" t="s">
        <v>31</v>
      </c>
      <c r="K182" s="4" t="s">
        <v>32</v>
      </c>
      <c r="L182" s="4">
        <v>44</v>
      </c>
      <c r="M182" s="4" t="s">
        <v>33</v>
      </c>
      <c r="O182" s="22">
        <f t="shared" si="4"/>
        <v>833.33333333333337</v>
      </c>
      <c r="P182" t="str">
        <f>IF(D182&gt;=70000,"Yes",IF(bike_buyers!D182&lt;=70000,"No"))</f>
        <v>No</v>
      </c>
    </row>
    <row r="183" spans="1:17" ht="14.25" customHeight="1" x14ac:dyDescent="0.2">
      <c r="A183" s="4">
        <v>22170</v>
      </c>
      <c r="B183" s="4" t="s">
        <v>26</v>
      </c>
      <c r="C183" s="4" t="s">
        <v>27</v>
      </c>
      <c r="D183" s="5">
        <v>30000</v>
      </c>
      <c r="E183" s="4">
        <v>3</v>
      </c>
      <c r="F183" s="4" t="s">
        <v>34</v>
      </c>
      <c r="G183" s="4" t="s">
        <v>35</v>
      </c>
      <c r="H183" s="4" t="s">
        <v>33</v>
      </c>
      <c r="I183" s="4">
        <v>2</v>
      </c>
      <c r="J183" s="4" t="s">
        <v>42</v>
      </c>
      <c r="K183" s="4" t="s">
        <v>40</v>
      </c>
      <c r="L183" s="4">
        <v>55</v>
      </c>
      <c r="M183" s="4" t="s">
        <v>30</v>
      </c>
      <c r="O183" s="22">
        <f t="shared" si="4"/>
        <v>2500</v>
      </c>
      <c r="P183" t="str">
        <f>IF(D183&gt;=70000,"Yes",IF(bike_buyers!D183&lt;=70000,"No"))</f>
        <v>No</v>
      </c>
    </row>
    <row r="184" spans="1:17" ht="14.25" customHeight="1" x14ac:dyDescent="0.2">
      <c r="A184" s="4">
        <v>19445</v>
      </c>
      <c r="B184" s="4" t="s">
        <v>26</v>
      </c>
      <c r="C184" s="4" t="s">
        <v>27</v>
      </c>
      <c r="D184" s="5">
        <v>10000</v>
      </c>
      <c r="E184" s="4">
        <v>2</v>
      </c>
      <c r="F184" s="4" t="s">
        <v>43</v>
      </c>
      <c r="G184" s="4" t="s">
        <v>41</v>
      </c>
      <c r="H184" s="4" t="s">
        <v>33</v>
      </c>
      <c r="I184" s="4">
        <v>1</v>
      </c>
      <c r="J184" s="4" t="s">
        <v>31</v>
      </c>
      <c r="K184" s="4" t="s">
        <v>32</v>
      </c>
      <c r="L184" s="4">
        <v>38</v>
      </c>
      <c r="M184" s="4" t="s">
        <v>33</v>
      </c>
      <c r="O184" s="22">
        <f t="shared" si="4"/>
        <v>833.33333333333337</v>
      </c>
      <c r="P184" t="str">
        <f>IF(D184&gt;=70000,"Yes",IF(bike_buyers!D184&lt;=70000,"No"))</f>
        <v>No</v>
      </c>
    </row>
    <row r="185" spans="1:17" ht="14.25" customHeight="1" x14ac:dyDescent="0.2">
      <c r="A185" s="4">
        <v>15265</v>
      </c>
      <c r="B185" s="4" t="s">
        <v>38</v>
      </c>
      <c r="C185" s="4" t="s">
        <v>26</v>
      </c>
      <c r="D185" s="5">
        <v>40000</v>
      </c>
      <c r="E185" s="4">
        <v>2</v>
      </c>
      <c r="F185" s="4" t="s">
        <v>28</v>
      </c>
      <c r="G185" s="4" t="s">
        <v>44</v>
      </c>
      <c r="H185" s="4" t="s">
        <v>30</v>
      </c>
      <c r="I185" s="4">
        <v>2</v>
      </c>
      <c r="J185" s="4" t="s">
        <v>39</v>
      </c>
      <c r="K185" s="4" t="s">
        <v>40</v>
      </c>
      <c r="L185" s="4">
        <v>66</v>
      </c>
      <c r="M185" s="4" t="s">
        <v>30</v>
      </c>
      <c r="O185" s="22">
        <f t="shared" si="4"/>
        <v>3333.3333333333335</v>
      </c>
      <c r="P185" t="str">
        <f>IF(D185&gt;=70000,"Yes",IF(bike_buyers!D185&lt;=70000,"No"))</f>
        <v>No</v>
      </c>
    </row>
    <row r="186" spans="1:17" ht="14.25" customHeight="1" x14ac:dyDescent="0.2">
      <c r="A186" s="6">
        <v>28918</v>
      </c>
      <c r="B186" s="6" t="s">
        <v>26</v>
      </c>
      <c r="C186" s="6" t="s">
        <v>27</v>
      </c>
      <c r="D186" s="7">
        <v>130000</v>
      </c>
      <c r="E186" s="6">
        <v>4</v>
      </c>
      <c r="F186" s="6" t="s">
        <v>43</v>
      </c>
      <c r="G186" s="6" t="s">
        <v>44</v>
      </c>
      <c r="H186" s="6" t="s">
        <v>33</v>
      </c>
      <c r="I186" s="6">
        <v>4</v>
      </c>
      <c r="J186" s="6" t="s">
        <v>46</v>
      </c>
      <c r="K186" s="6" t="s">
        <v>32</v>
      </c>
      <c r="L186" s="6">
        <v>58</v>
      </c>
      <c r="M186" s="6" t="s">
        <v>33</v>
      </c>
      <c r="N186" s="8"/>
      <c r="O186" s="23">
        <f t="shared" si="4"/>
        <v>10833.333333333334</v>
      </c>
      <c r="P186" t="str">
        <f>IF(D186&gt;=70000,"Yes",IF(bike_buyers!D186&lt;=70000,"No"))</f>
        <v>Yes</v>
      </c>
      <c r="Q186" t="str">
        <f>IF(AND(D183&gt;70000, L183&lt;40, M183="No"), "Yes", "")</f>
        <v/>
      </c>
    </row>
    <row r="187" spans="1:17" ht="14.25" customHeight="1" x14ac:dyDescent="0.2">
      <c r="A187" s="6">
        <v>15799</v>
      </c>
      <c r="B187" s="6" t="s">
        <v>26</v>
      </c>
      <c r="C187" s="6" t="s">
        <v>27</v>
      </c>
      <c r="D187" s="7">
        <v>90000</v>
      </c>
      <c r="E187" s="6">
        <v>1</v>
      </c>
      <c r="F187" s="6" t="s">
        <v>28</v>
      </c>
      <c r="G187" s="6" t="s">
        <v>36</v>
      </c>
      <c r="H187" s="6" t="s">
        <v>30</v>
      </c>
      <c r="I187" s="6">
        <v>1</v>
      </c>
      <c r="J187" s="6" t="s">
        <v>37</v>
      </c>
      <c r="K187" s="6" t="s">
        <v>40</v>
      </c>
      <c r="L187" s="6">
        <v>47</v>
      </c>
      <c r="M187" s="6" t="s">
        <v>30</v>
      </c>
      <c r="N187" s="8"/>
      <c r="O187" s="23">
        <f t="shared" si="4"/>
        <v>7500</v>
      </c>
      <c r="P187" t="str">
        <f>IF(D187&gt;=70000,"Yes",IF(bike_buyers!D187&lt;=70000,"No"))</f>
        <v>Yes</v>
      </c>
    </row>
    <row r="188" spans="1:17" ht="14.25" customHeight="1" x14ac:dyDescent="0.2">
      <c r="A188" s="4">
        <v>11047</v>
      </c>
      <c r="B188" s="4" t="s">
        <v>26</v>
      </c>
      <c r="C188" s="4" t="s">
        <v>27</v>
      </c>
      <c r="D188" s="5">
        <v>30000</v>
      </c>
      <c r="E188" s="4">
        <v>3</v>
      </c>
      <c r="F188" s="4" t="s">
        <v>43</v>
      </c>
      <c r="G188" s="4" t="s">
        <v>29</v>
      </c>
      <c r="H188" s="4" t="s">
        <v>33</v>
      </c>
      <c r="I188" s="4">
        <v>2</v>
      </c>
      <c r="J188" s="4" t="s">
        <v>42</v>
      </c>
      <c r="K188" s="4" t="s">
        <v>40</v>
      </c>
      <c r="L188" s="4">
        <v>56</v>
      </c>
      <c r="M188" s="4" t="s">
        <v>30</v>
      </c>
      <c r="O188" s="22">
        <f t="shared" si="4"/>
        <v>2500</v>
      </c>
      <c r="P188" t="str">
        <f>IF(D188&gt;=70000,"Yes",IF(bike_buyers!D188&lt;=70000,"No"))</f>
        <v>No</v>
      </c>
    </row>
    <row r="189" spans="1:17" ht="14.25" customHeight="1" x14ac:dyDescent="0.2">
      <c r="A189" s="4">
        <v>18151</v>
      </c>
      <c r="B189" s="4" t="s">
        <v>38</v>
      </c>
      <c r="C189" s="4" t="s">
        <v>26</v>
      </c>
      <c r="D189" s="5">
        <v>80000</v>
      </c>
      <c r="E189" s="4">
        <v>5</v>
      </c>
      <c r="F189" s="4" t="s">
        <v>34</v>
      </c>
      <c r="G189" s="4" t="s">
        <v>36</v>
      </c>
      <c r="H189" s="4" t="s">
        <v>33</v>
      </c>
      <c r="I189" s="4">
        <v>2</v>
      </c>
      <c r="J189" s="4" t="s">
        <v>46</v>
      </c>
      <c r="K189" s="4" t="s">
        <v>32</v>
      </c>
      <c r="L189" s="4">
        <v>59</v>
      </c>
      <c r="M189" s="4" t="s">
        <v>33</v>
      </c>
      <c r="O189" s="22">
        <f t="shared" si="4"/>
        <v>6666.666666666667</v>
      </c>
      <c r="P189" t="str">
        <f>IF(D189&gt;=70000,"Yes",IF(bike_buyers!D189&lt;=70000,"No"))</f>
        <v>Yes</v>
      </c>
      <c r="Q189" t="str">
        <f>IF(AND(D186&gt;70000, L186&lt;40, M186="No"), "Yes", "")</f>
        <v/>
      </c>
    </row>
    <row r="190" spans="1:17" ht="14.25" customHeight="1" x14ac:dyDescent="0.2">
      <c r="A190" s="4">
        <v>20606</v>
      </c>
      <c r="B190" s="4" t="s">
        <v>26</v>
      </c>
      <c r="C190" s="4" t="s">
        <v>27</v>
      </c>
      <c r="D190" s="5">
        <v>70000</v>
      </c>
      <c r="E190" s="4">
        <v>0</v>
      </c>
      <c r="F190" s="4" t="s">
        <v>28</v>
      </c>
      <c r="G190" s="4" t="s">
        <v>36</v>
      </c>
      <c r="H190" s="4" t="s">
        <v>30</v>
      </c>
      <c r="I190" s="4">
        <v>4</v>
      </c>
      <c r="J190" s="4" t="s">
        <v>46</v>
      </c>
      <c r="K190" s="4" t="s">
        <v>40</v>
      </c>
      <c r="L190" s="4">
        <v>32</v>
      </c>
      <c r="M190" s="4" t="s">
        <v>30</v>
      </c>
      <c r="O190" s="22">
        <f t="shared" si="4"/>
        <v>5833.333333333333</v>
      </c>
      <c r="P190" t="str">
        <f>IF(D190&gt;=70000,"Yes",IF(bike_buyers!D190&lt;=70000,"No"))</f>
        <v>Yes</v>
      </c>
    </row>
    <row r="191" spans="1:17" ht="14.25" customHeight="1" x14ac:dyDescent="0.2">
      <c r="A191" s="4">
        <v>19482</v>
      </c>
      <c r="B191" s="4" t="s">
        <v>26</v>
      </c>
      <c r="C191" s="4" t="s">
        <v>26</v>
      </c>
      <c r="D191" s="5">
        <v>30000</v>
      </c>
      <c r="E191" s="4">
        <v>1</v>
      </c>
      <c r="F191" s="4" t="s">
        <v>34</v>
      </c>
      <c r="G191" s="4" t="s">
        <v>35</v>
      </c>
      <c r="H191" s="4" t="s">
        <v>30</v>
      </c>
      <c r="I191" s="4">
        <v>1</v>
      </c>
      <c r="J191" s="4" t="s">
        <v>31</v>
      </c>
      <c r="K191" s="4" t="s">
        <v>32</v>
      </c>
      <c r="L191" s="4">
        <v>44</v>
      </c>
      <c r="M191" s="4" t="s">
        <v>30</v>
      </c>
      <c r="O191" s="22">
        <f t="shared" si="4"/>
        <v>2500</v>
      </c>
      <c r="P191" t="str">
        <f>IF(D191&gt;=70000,"Yes",IF(bike_buyers!D191&lt;=70000,"No"))</f>
        <v>No</v>
      </c>
    </row>
    <row r="192" spans="1:17" ht="14.25" customHeight="1" x14ac:dyDescent="0.2">
      <c r="A192" s="4">
        <v>16489</v>
      </c>
      <c r="B192" s="4" t="s">
        <v>26</v>
      </c>
      <c r="C192" s="4" t="s">
        <v>26</v>
      </c>
      <c r="D192" s="5">
        <v>30000</v>
      </c>
      <c r="E192" s="4">
        <v>3</v>
      </c>
      <c r="F192" s="4" t="s">
        <v>43</v>
      </c>
      <c r="G192" s="4" t="s">
        <v>29</v>
      </c>
      <c r="H192" s="4" t="s">
        <v>30</v>
      </c>
      <c r="I192" s="4">
        <v>2</v>
      </c>
      <c r="J192" s="4" t="s">
        <v>39</v>
      </c>
      <c r="K192" s="4" t="s">
        <v>40</v>
      </c>
      <c r="L192" s="4">
        <v>55</v>
      </c>
      <c r="M192" s="4" t="s">
        <v>33</v>
      </c>
      <c r="O192" s="22">
        <f t="shared" si="4"/>
        <v>2500</v>
      </c>
      <c r="P192" t="str">
        <f>IF(D192&gt;=70000,"Yes",IF(bike_buyers!D192&lt;=70000,"No"))</f>
        <v>No</v>
      </c>
    </row>
    <row r="193" spans="1:17" ht="14.25" customHeight="1" x14ac:dyDescent="0.2">
      <c r="A193" s="6">
        <v>26944</v>
      </c>
      <c r="B193" s="6" t="s">
        <v>38</v>
      </c>
      <c r="C193" s="6" t="s">
        <v>26</v>
      </c>
      <c r="D193" s="7">
        <v>90000</v>
      </c>
      <c r="E193" s="6">
        <v>2</v>
      </c>
      <c r="F193" s="6" t="s">
        <v>43</v>
      </c>
      <c r="G193" s="6" t="s">
        <v>41</v>
      </c>
      <c r="H193" s="6" t="s">
        <v>30</v>
      </c>
      <c r="I193" s="6">
        <v>0</v>
      </c>
      <c r="J193" s="6" t="s">
        <v>31</v>
      </c>
      <c r="K193" s="6" t="s">
        <v>32</v>
      </c>
      <c r="L193" s="6">
        <v>36</v>
      </c>
      <c r="M193" s="6" t="s">
        <v>30</v>
      </c>
      <c r="N193" s="8"/>
      <c r="O193" s="23">
        <f t="shared" si="4"/>
        <v>7500</v>
      </c>
      <c r="P193" t="str">
        <f>IF(D193&gt;=70000,"Yes",IF(bike_buyers!D193&lt;=70000,"No"))</f>
        <v>Yes</v>
      </c>
    </row>
    <row r="194" spans="1:17" ht="14.25" customHeight="1" x14ac:dyDescent="0.2">
      <c r="A194" s="4">
        <v>15682</v>
      </c>
      <c r="B194" s="4" t="s">
        <v>38</v>
      </c>
      <c r="C194" s="4" t="s">
        <v>27</v>
      </c>
      <c r="D194" s="5">
        <v>80000</v>
      </c>
      <c r="E194" s="4">
        <v>5</v>
      </c>
      <c r="F194" s="4" t="s">
        <v>28</v>
      </c>
      <c r="G194" s="4" t="s">
        <v>44</v>
      </c>
      <c r="H194" s="4" t="s">
        <v>30</v>
      </c>
      <c r="I194" s="4">
        <v>2</v>
      </c>
      <c r="J194" s="4" t="s">
        <v>46</v>
      </c>
      <c r="K194" s="4" t="s">
        <v>32</v>
      </c>
      <c r="L194" s="4">
        <v>62</v>
      </c>
      <c r="M194" s="4" t="s">
        <v>33</v>
      </c>
      <c r="O194" s="22">
        <f t="shared" si="4"/>
        <v>6666.666666666667</v>
      </c>
      <c r="P194" t="str">
        <f>IF(D194&gt;=70000,"Yes",IF(bike_buyers!D194&lt;=70000,"No"))</f>
        <v>Yes</v>
      </c>
      <c r="Q194" t="str">
        <f>IF(AND(D191&gt;70000, L191&lt;40, M191="No"), "Yes", "")</f>
        <v/>
      </c>
    </row>
    <row r="195" spans="1:17" ht="14.25" customHeight="1" x14ac:dyDescent="0.2">
      <c r="A195" s="4">
        <v>26032</v>
      </c>
      <c r="B195" s="4" t="s">
        <v>26</v>
      </c>
      <c r="C195" s="4" t="s">
        <v>27</v>
      </c>
      <c r="D195" s="5">
        <v>70000</v>
      </c>
      <c r="E195" s="4">
        <v>5</v>
      </c>
      <c r="F195" s="4" t="s">
        <v>28</v>
      </c>
      <c r="G195" s="4" t="s">
        <v>36</v>
      </c>
      <c r="H195" s="4" t="s">
        <v>30</v>
      </c>
      <c r="I195" s="4">
        <v>4</v>
      </c>
      <c r="J195" s="4" t="s">
        <v>46</v>
      </c>
      <c r="K195" s="4" t="s">
        <v>40</v>
      </c>
      <c r="L195" s="4">
        <v>41</v>
      </c>
      <c r="M195" s="4" t="s">
        <v>33</v>
      </c>
      <c r="O195" s="22">
        <f t="shared" ref="O195:O200" si="7">D195/12</f>
        <v>5833.333333333333</v>
      </c>
      <c r="P195" t="str">
        <f>IF(D195&gt;=70000,"Yes",IF(bike_buyers!D195&lt;=70000,"No"))</f>
        <v>Yes</v>
      </c>
    </row>
    <row r="196" spans="1:17" ht="14.25" customHeight="1" x14ac:dyDescent="0.2">
      <c r="A196" s="4">
        <v>17843</v>
      </c>
      <c r="B196" s="4" t="s">
        <v>38</v>
      </c>
      <c r="C196" s="4" t="s">
        <v>27</v>
      </c>
      <c r="D196" s="5">
        <v>10000</v>
      </c>
      <c r="E196" s="4">
        <v>0</v>
      </c>
      <c r="F196" s="4" t="s">
        <v>45</v>
      </c>
      <c r="G196" s="4" t="s">
        <v>41</v>
      </c>
      <c r="H196" s="4" t="s">
        <v>33</v>
      </c>
      <c r="I196" s="4">
        <v>2</v>
      </c>
      <c r="J196" s="4" t="s">
        <v>31</v>
      </c>
      <c r="K196" s="4" t="s">
        <v>32</v>
      </c>
      <c r="L196" s="4">
        <v>32</v>
      </c>
      <c r="M196" s="4" t="s">
        <v>33</v>
      </c>
      <c r="O196" s="22">
        <f t="shared" si="7"/>
        <v>833.33333333333337</v>
      </c>
      <c r="P196" t="str">
        <f>IF(D196&gt;=70000,"Yes",IF(bike_buyers!D196&lt;=70000,"No"))</f>
        <v>No</v>
      </c>
      <c r="Q196" t="str">
        <f>IF(AND(D193&gt;70000, L193&lt;40, M193="No"), "Yes", "")</f>
        <v/>
      </c>
    </row>
    <row r="197" spans="1:17" ht="14.25" customHeight="1" x14ac:dyDescent="0.2">
      <c r="A197" s="4">
        <v>25559</v>
      </c>
      <c r="B197" s="4" t="s">
        <v>38</v>
      </c>
      <c r="C197" s="4" t="s">
        <v>26</v>
      </c>
      <c r="D197" s="5">
        <v>20000</v>
      </c>
      <c r="E197" s="4">
        <v>0</v>
      </c>
      <c r="F197" s="4" t="s">
        <v>28</v>
      </c>
      <c r="G197" s="4" t="s">
        <v>35</v>
      </c>
      <c r="H197" s="4" t="s">
        <v>30</v>
      </c>
      <c r="I197" s="4">
        <v>0</v>
      </c>
      <c r="J197" s="4" t="s">
        <v>31</v>
      </c>
      <c r="K197" s="4" t="s">
        <v>40</v>
      </c>
      <c r="L197" s="4">
        <v>25</v>
      </c>
      <c r="M197" s="4" t="s">
        <v>30</v>
      </c>
      <c r="O197" s="22">
        <f t="shared" si="7"/>
        <v>1666.6666666666667</v>
      </c>
      <c r="P197" t="str">
        <f>IF(D197&gt;=70000,"Yes",IF(bike_buyers!D197&lt;=70000,"No"))</f>
        <v>No</v>
      </c>
    </row>
    <row r="198" spans="1:17" ht="14.25" customHeight="1" x14ac:dyDescent="0.2">
      <c r="A198" s="4">
        <v>16209</v>
      </c>
      <c r="B198" s="4" t="s">
        <v>38</v>
      </c>
      <c r="C198" s="4" t="s">
        <v>27</v>
      </c>
      <c r="D198" s="5">
        <v>50000</v>
      </c>
      <c r="E198" s="4">
        <v>0</v>
      </c>
      <c r="F198" s="4" t="s">
        <v>47</v>
      </c>
      <c r="G198" s="4" t="s">
        <v>29</v>
      </c>
      <c r="H198" s="4" t="s">
        <v>30</v>
      </c>
      <c r="I198" s="4">
        <v>0</v>
      </c>
      <c r="J198" s="4" t="s">
        <v>42</v>
      </c>
      <c r="K198" s="4" t="s">
        <v>32</v>
      </c>
      <c r="L198" s="4">
        <v>36</v>
      </c>
      <c r="M198" s="4" t="s">
        <v>33</v>
      </c>
      <c r="O198" s="22">
        <f t="shared" si="7"/>
        <v>4166.666666666667</v>
      </c>
      <c r="P198" t="str">
        <f>IF(D198&gt;=70000,"Yes",IF(bike_buyers!D198&lt;=70000,"No"))</f>
        <v>No</v>
      </c>
    </row>
    <row r="199" spans="1:17" ht="14.25" customHeight="1" x14ac:dyDescent="0.2">
      <c r="A199" s="4">
        <v>11147</v>
      </c>
      <c r="B199" s="4" t="s">
        <v>26</v>
      </c>
      <c r="C199" s="4" t="s">
        <v>26</v>
      </c>
      <c r="D199" s="5">
        <v>60000</v>
      </c>
      <c r="E199" s="4">
        <v>2</v>
      </c>
      <c r="F199" s="4" t="s">
        <v>47</v>
      </c>
      <c r="G199" s="4" t="s">
        <v>44</v>
      </c>
      <c r="H199" s="4" t="s">
        <v>30</v>
      </c>
      <c r="I199" s="4">
        <v>1</v>
      </c>
      <c r="J199" s="4" t="s">
        <v>31</v>
      </c>
      <c r="K199" s="4" t="s">
        <v>40</v>
      </c>
      <c r="L199" s="4">
        <v>67</v>
      </c>
      <c r="M199" s="4" t="s">
        <v>30</v>
      </c>
      <c r="O199" s="22">
        <f t="shared" si="7"/>
        <v>5000</v>
      </c>
      <c r="P199" t="str">
        <f>IF(D199&gt;=70000,"Yes",IF(bike_buyers!D199&lt;=70000,"No"))</f>
        <v>No</v>
      </c>
    </row>
    <row r="200" spans="1:17" ht="14.25" customHeight="1" x14ac:dyDescent="0.2">
      <c r="A200" s="6">
        <v>15214</v>
      </c>
      <c r="B200" s="6" t="s">
        <v>38</v>
      </c>
      <c r="C200" s="6" t="s">
        <v>27</v>
      </c>
      <c r="D200" s="7">
        <v>100000</v>
      </c>
      <c r="E200" s="6">
        <v>0</v>
      </c>
      <c r="F200" s="6" t="s">
        <v>47</v>
      </c>
      <c r="G200" s="6" t="s">
        <v>44</v>
      </c>
      <c r="H200" s="6" t="s">
        <v>33</v>
      </c>
      <c r="I200" s="6">
        <v>1</v>
      </c>
      <c r="J200" s="6" t="s">
        <v>42</v>
      </c>
      <c r="K200" s="6" t="s">
        <v>40</v>
      </c>
      <c r="L200" s="6">
        <v>39</v>
      </c>
      <c r="M200" s="6" t="s">
        <v>30</v>
      </c>
      <c r="N200" s="8"/>
      <c r="O200" s="23">
        <f t="shared" si="7"/>
        <v>8333.3333333333339</v>
      </c>
      <c r="P200" t="str">
        <f>IF(D200&gt;=70000,"Yes",IF(bike_buyers!D200&lt;=70000,"No"))</f>
        <v>Yes</v>
      </c>
    </row>
    <row r="201" spans="1:17" ht="14.25" customHeight="1" x14ac:dyDescent="0.2"/>
    <row r="202" spans="1:17" ht="14.25" customHeight="1" x14ac:dyDescent="0.2"/>
    <row r="203" spans="1:17" ht="14.25" customHeight="1" x14ac:dyDescent="0.2"/>
    <row r="204" spans="1:17" ht="14.25" customHeight="1" x14ac:dyDescent="0.2"/>
    <row r="205" spans="1:17" ht="14.25" customHeight="1" x14ac:dyDescent="0.2"/>
    <row r="206" spans="1:17" ht="14.25" customHeight="1" x14ac:dyDescent="0.2"/>
    <row r="207" spans="1:17" ht="14.25" customHeight="1" x14ac:dyDescent="0.2"/>
    <row r="208" spans="1:17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dataValidations count="1">
    <dataValidation type="list" allowBlank="1" showInputMessage="1" showErrorMessage="1" sqref="N1:N1048576" xr:uid="{A424A2FF-0CB1-4C6F-9BDE-C456BFF837EF}">
      <formula1>"Debit,EFT"</formula1>
    </dataValidation>
  </dataValidation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B698E-AAC6-4AB9-9367-A8E492BA8D09}">
  <dimension ref="A1:S17"/>
  <sheetViews>
    <sheetView tabSelected="1" zoomScaleNormal="100" workbookViewId="0">
      <selection activeCell="O24" sqref="O24"/>
    </sheetView>
  </sheetViews>
  <sheetFormatPr baseColWidth="10" defaultColWidth="8.83203125" defaultRowHeight="15" x14ac:dyDescent="0.2"/>
  <cols>
    <col min="1" max="1" width="13.1640625" bestFit="1" customWidth="1"/>
    <col min="2" max="2" width="22.83203125" bestFit="1" customWidth="1"/>
    <col min="5" max="5" width="11.5" customWidth="1"/>
    <col min="6" max="6" width="25.83203125" bestFit="1" customWidth="1"/>
  </cols>
  <sheetData>
    <row r="1" spans="1:19" x14ac:dyDescent="0.2">
      <c r="A1" s="12" t="s">
        <v>50</v>
      </c>
      <c r="B1" t="s">
        <v>49</v>
      </c>
    </row>
    <row r="2" spans="1:19" ht="19" x14ac:dyDescent="0.25">
      <c r="A2" s="14" t="s">
        <v>28</v>
      </c>
      <c r="B2" s="13">
        <v>53492.063492063491</v>
      </c>
      <c r="E2" s="19"/>
      <c r="F2" s="29" t="s">
        <v>54</v>
      </c>
    </row>
    <row r="3" spans="1:19" ht="29" x14ac:dyDescent="0.35">
      <c r="A3" s="14" t="s">
        <v>43</v>
      </c>
      <c r="B3" s="13">
        <v>50526.315789473687</v>
      </c>
      <c r="E3" s="20"/>
      <c r="F3" s="30">
        <v>105</v>
      </c>
    </row>
    <row r="4" spans="1:19" x14ac:dyDescent="0.2">
      <c r="A4" s="14" t="s">
        <v>34</v>
      </c>
      <c r="B4" s="13">
        <v>49558.823529411762</v>
      </c>
    </row>
    <row r="5" spans="1:19" x14ac:dyDescent="0.2">
      <c r="A5" s="14" t="s">
        <v>47</v>
      </c>
      <c r="B5" s="13">
        <v>46666.666666666664</v>
      </c>
    </row>
    <row r="6" spans="1:19" x14ac:dyDescent="0.2">
      <c r="A6" s="14" t="s">
        <v>45</v>
      </c>
      <c r="B6" s="13">
        <v>21333.333333333332</v>
      </c>
    </row>
    <row r="7" spans="1:19" x14ac:dyDescent="0.2">
      <c r="A7" s="14" t="s">
        <v>51</v>
      </c>
      <c r="B7" s="13">
        <v>48643.21608040201</v>
      </c>
    </row>
    <row r="9" spans="1:19" x14ac:dyDescent="0.2">
      <c r="A9" s="12" t="s">
        <v>50</v>
      </c>
      <c r="B9" t="s">
        <v>55</v>
      </c>
      <c r="S9" s="18" t="s">
        <v>56</v>
      </c>
    </row>
    <row r="10" spans="1:19" x14ac:dyDescent="0.2">
      <c r="A10" s="14" t="s">
        <v>32</v>
      </c>
      <c r="B10">
        <v>123</v>
      </c>
    </row>
    <row r="11" spans="1:19" x14ac:dyDescent="0.2">
      <c r="A11" s="14" t="s">
        <v>40</v>
      </c>
      <c r="B11">
        <v>76</v>
      </c>
    </row>
    <row r="12" spans="1:19" x14ac:dyDescent="0.2">
      <c r="A12" s="14" t="s">
        <v>51</v>
      </c>
      <c r="B12">
        <v>199</v>
      </c>
    </row>
    <row r="14" spans="1:19" x14ac:dyDescent="0.2">
      <c r="A14" s="12" t="s">
        <v>50</v>
      </c>
      <c r="B14" t="s">
        <v>49</v>
      </c>
    </row>
    <row r="15" spans="1:19" x14ac:dyDescent="0.2">
      <c r="A15" s="14" t="s">
        <v>30</v>
      </c>
      <c r="B15" s="13">
        <v>48285.714285714283</v>
      </c>
    </row>
    <row r="16" spans="1:19" x14ac:dyDescent="0.2">
      <c r="A16" s="14" t="s">
        <v>33</v>
      </c>
      <c r="B16" s="13">
        <v>49042.553191489358</v>
      </c>
    </row>
    <row r="17" spans="1:2" x14ac:dyDescent="0.2">
      <c r="A17" s="14" t="s">
        <v>51</v>
      </c>
      <c r="B17" s="13">
        <v>48643.21608040201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1E07E-7AE7-4CC5-8C7C-C4F0549ED92D}">
  <dimension ref="A1:Q4"/>
  <sheetViews>
    <sheetView workbookViewId="0"/>
  </sheetViews>
  <sheetFormatPr baseColWidth="10" defaultColWidth="8.83203125" defaultRowHeight="15" x14ac:dyDescent="0.2"/>
  <cols>
    <col min="4" max="4" width="11.1640625" bestFit="1" customWidth="1"/>
    <col min="15" max="15" width="15.5" bestFit="1" customWidth="1"/>
    <col min="16" max="16" width="12" bestFit="1" customWidth="1"/>
    <col min="17" max="17" width="15.6640625" bestFit="1" customWidth="1"/>
  </cols>
  <sheetData>
    <row r="1" spans="1:17" x14ac:dyDescent="0.2">
      <c r="A1" s="15" t="s">
        <v>12</v>
      </c>
      <c r="B1" s="15" t="s">
        <v>13</v>
      </c>
      <c r="C1" s="15" t="s">
        <v>14</v>
      </c>
      <c r="D1" s="15" t="s">
        <v>15</v>
      </c>
      <c r="E1" s="15" t="s">
        <v>16</v>
      </c>
      <c r="F1" s="15" t="s">
        <v>17</v>
      </c>
      <c r="G1" s="15" t="s">
        <v>18</v>
      </c>
      <c r="H1" s="15" t="s">
        <v>19</v>
      </c>
      <c r="I1" s="15" t="s">
        <v>20</v>
      </c>
      <c r="J1" s="15" t="s">
        <v>21</v>
      </c>
      <c r="K1" s="15" t="s">
        <v>22</v>
      </c>
      <c r="L1" s="15" t="s">
        <v>23</v>
      </c>
      <c r="M1" s="15" t="s">
        <v>24</v>
      </c>
      <c r="N1" s="15" t="s">
        <v>25</v>
      </c>
      <c r="O1" s="21" t="s">
        <v>48</v>
      </c>
      <c r="P1" s="15" t="s">
        <v>52</v>
      </c>
      <c r="Q1" s="15" t="s">
        <v>57</v>
      </c>
    </row>
    <row r="2" spans="1:17" x14ac:dyDescent="0.2">
      <c r="A2" s="6">
        <v>12678</v>
      </c>
      <c r="B2" s="6" t="s">
        <v>38</v>
      </c>
      <c r="C2" s="6" t="s">
        <v>27</v>
      </c>
      <c r="D2" s="7">
        <v>130000</v>
      </c>
      <c r="E2" s="6">
        <v>4</v>
      </c>
      <c r="F2" s="6" t="s">
        <v>43</v>
      </c>
      <c r="G2" s="6" t="s">
        <v>44</v>
      </c>
      <c r="H2" s="6" t="s">
        <v>30</v>
      </c>
      <c r="I2" s="6">
        <v>4</v>
      </c>
      <c r="J2" s="6" t="s">
        <v>31</v>
      </c>
      <c r="K2" s="6" t="s">
        <v>40</v>
      </c>
      <c r="L2" s="6">
        <v>31</v>
      </c>
      <c r="M2" s="6" t="s">
        <v>33</v>
      </c>
      <c r="N2" s="8"/>
      <c r="O2" s="23">
        <v>10833.333333333334</v>
      </c>
      <c r="P2" t="s">
        <v>30</v>
      </c>
      <c r="Q2" t="s">
        <v>63</v>
      </c>
    </row>
    <row r="3" spans="1:17" x14ac:dyDescent="0.2">
      <c r="A3" s="4">
        <v>12344</v>
      </c>
      <c r="B3" s="4" t="s">
        <v>38</v>
      </c>
      <c r="C3" s="4" t="s">
        <v>27</v>
      </c>
      <c r="D3" s="5">
        <v>80000</v>
      </c>
      <c r="E3" s="4">
        <v>0</v>
      </c>
      <c r="F3" s="4" t="s">
        <v>28</v>
      </c>
      <c r="G3" s="4" t="s">
        <v>36</v>
      </c>
      <c r="H3" s="4" t="s">
        <v>33</v>
      </c>
      <c r="I3" s="4">
        <v>3</v>
      </c>
      <c r="J3" s="4" t="s">
        <v>46</v>
      </c>
      <c r="K3" s="4" t="s">
        <v>40</v>
      </c>
      <c r="L3" s="4">
        <v>31</v>
      </c>
      <c r="M3" s="4" t="s">
        <v>33</v>
      </c>
      <c r="O3" s="22">
        <v>6666.666666666667</v>
      </c>
      <c r="P3" t="s">
        <v>30</v>
      </c>
      <c r="Q3" t="s">
        <v>63</v>
      </c>
    </row>
    <row r="4" spans="1:17" x14ac:dyDescent="0.2">
      <c r="A4" s="4">
        <v>16614</v>
      </c>
      <c r="B4" s="4" t="s">
        <v>26</v>
      </c>
      <c r="C4" s="4" t="s">
        <v>27</v>
      </c>
      <c r="D4" s="5">
        <v>80000</v>
      </c>
      <c r="E4" s="4">
        <v>0</v>
      </c>
      <c r="F4" s="4" t="s">
        <v>28</v>
      </c>
      <c r="G4" s="4" t="s">
        <v>36</v>
      </c>
      <c r="H4" s="4" t="s">
        <v>30</v>
      </c>
      <c r="I4" s="4">
        <v>3</v>
      </c>
      <c r="J4" s="4" t="s">
        <v>46</v>
      </c>
      <c r="K4" s="4" t="s">
        <v>40</v>
      </c>
      <c r="L4" s="4">
        <v>32</v>
      </c>
      <c r="M4" s="4" t="s">
        <v>33</v>
      </c>
      <c r="O4" s="22">
        <v>6666.666666666667</v>
      </c>
      <c r="P4" t="s">
        <v>30</v>
      </c>
      <c r="Q4" t="s">
        <v>63</v>
      </c>
    </row>
  </sheetData>
  <dataValidations count="1">
    <dataValidation type="list" allowBlank="1" showInputMessage="1" showErrorMessage="1" sqref="N1" xr:uid="{78860FBE-69EB-46A3-B355-B9B70751F05F}">
      <formula1>"Debit,EFT"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Assessments</vt:lpstr>
      <vt:lpstr>bike_buyers</vt:lpstr>
      <vt:lpstr>Dashboard</vt:lpstr>
      <vt:lpstr>Sales Leads</vt:lpstr>
      <vt:lpstr>'Sales Leads'!Extract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Zahir Ken</dc:creator>
  <cp:lastModifiedBy>Amna Riasat (Student)</cp:lastModifiedBy>
  <dcterms:created xsi:type="dcterms:W3CDTF">2022-03-18T02:50:57Z</dcterms:created>
  <dcterms:modified xsi:type="dcterms:W3CDTF">2026-02-04T07:51:44Z</dcterms:modified>
</cp:coreProperties>
</file>